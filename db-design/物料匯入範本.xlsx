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匯入" state="visible" r:id="rId4"/>
    <sheet sheetId="2" name="系統碼表" state="visible" r:id="rId5"/>
    <sheet sheetId="3" name="類別碼表" state="visible" r:id="rId6"/>
    <sheet sheetId="4" name="子系統清單" state="visible" r:id="rId7"/>
    <sheet sheetId="5" name="單位表" state="visible" r:id="rId8"/>
    <sheet sheetId="6" name="填寫說明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必填。下拉選 10 個系統碼（32/35/39/50 專屬；91-96 一般）。決定料號第1段、系統名稱、物料屬性。</t>
        </r>
      </text>
    </comment>
    <comment ref="B1" authorId="0">
      <text>
        <r>
          <t>必填。料號第2段。請到「類別碼表」分頁，依系統碼查對應類別碼。</t>
        </r>
      </text>
    </comment>
    <comment ref="C1" authorId="0">
      <text>
        <r>
          <t>必填。料號第3段，4碼數字，例如 0001。</t>
        </r>
      </text>
    </comment>
    <comment ref="D1" authorId="0">
      <text>
        <r>
          <t>必填。料號第4段，2碼型式碼，例如 LO。</t>
        </r>
      </text>
    </comment>
    <comment ref="E1" authorId="0">
      <text>
        <r>
          <t>自動：由 系統碼.類別碼.流水號.型式碼 組成，請勿手填。</t>
        </r>
      </text>
    </comment>
    <comment ref="H1" authorId="0">
      <text>
        <r>
          <t>必填。下拉選單位（可自行輸入其他）。</t>
        </r>
      </text>
    </comment>
    <comment ref="I1" authorId="0">
      <text>
        <r>
          <t>自動：由系統碼帶出 專屬物料／一般物料。</t>
        </r>
      </text>
    </comment>
    <comment ref="J1" authorId="0">
      <text>
        <r>
          <t>自動：由系統碼帶出系統名稱。</t>
        </r>
      </text>
    </comment>
    <comment ref="K1" authorId="0">
      <text>
        <r>
          <t>選填。車輛功能子系統（12項）。目前資料庫尚無獨立欄位，僅作標記參考。</t>
        </r>
      </text>
    </comment>
    <comment ref="L1" authorId="0">
      <text>
        <r>
          <t>選填。對應類別碼的中文名稱，可查「類別碼表」。</t>
        </r>
      </text>
    </comment>
  </commentList>
</comments>
</file>

<file path=xl/sharedStrings.xml><?xml version="1.0" encoding="utf-8"?>
<sst xmlns="http://schemas.openxmlformats.org/spreadsheetml/2006/main" count="2126" uniqueCount="674">
  <si>
    <t>系統碼 *</t>
  </si>
  <si>
    <t>類別碼 *</t>
  </si>
  <si>
    <t>流水號 *</t>
  </si>
  <si>
    <t>型式碼 *</t>
  </si>
  <si>
    <t>料號（自動）</t>
  </si>
  <si>
    <t>物料名稱 *</t>
  </si>
  <si>
    <t>規格</t>
  </si>
  <si>
    <t>單位 *</t>
  </si>
  <si>
    <t>物料屬性（自動）</t>
  </si>
  <si>
    <t>系統名稱（自動）</t>
  </si>
  <si>
    <t>子系統（選填）</t>
  </si>
  <si>
    <t>類別名稱（選填）</t>
  </si>
  <si>
    <t>安全等級</t>
  </si>
  <si>
    <t>可修件</t>
  </si>
  <si>
    <t>序號管理</t>
  </si>
  <si>
    <t>請購點</t>
  </si>
  <si>
    <t>交期天數</t>
  </si>
  <si>
    <t>預估單價</t>
  </si>
  <si>
    <t>市售品</t>
  </si>
  <si>
    <t>檢討說明</t>
  </si>
  <si>
    <t>50</t>
  </si>
  <si>
    <t>83</t>
  </si>
  <si>
    <t>0001</t>
  </si>
  <si>
    <t>LO</t>
  </si>
  <si>
    <t>車門CHT3按鈕墊塊</t>
  </si>
  <si>
    <t>材質:鋁合金或經審查同意耐腐蝕金屬，外圈Ø88±5%</t>
  </si>
  <si>
    <t>PC</t>
  </si>
  <si>
    <t>車門系統</t>
  </si>
  <si>
    <t>電聯車特殊設備車門類</t>
  </si>
  <si>
    <t>未分類</t>
  </si>
  <si>
    <t>否</t>
  </si>
  <si>
    <t>是</t>
  </si>
  <si>
    <t>← 範例，匯入前請整列刪除</t>
  </si>
  <si>
    <t>88</t>
  </si>
  <si>
    <t>0004</t>
  </si>
  <si>
    <t>R134快速接頭</t>
  </si>
  <si>
    <t>適用於填充R134冷媒</t>
  </si>
  <si>
    <t>ST</t>
  </si>
  <si>
    <t>空調與通風系統</t>
  </si>
  <si>
    <t>電聯車特殊設備空調類</t>
  </si>
  <si>
    <t>94</t>
  </si>
  <si>
    <t>0054</t>
  </si>
  <si>
    <t>（消耗品範例）</t>
  </si>
  <si>
    <t/>
  </si>
  <si>
    <t>電聯車雜項類</t>
  </si>
  <si>
    <t>系統碼</t>
  </si>
  <si>
    <t>系統名稱</t>
  </si>
  <si>
    <t>物料屬性</t>
  </si>
  <si>
    <t>32</t>
  </si>
  <si>
    <t>輕軌號誌</t>
  </si>
  <si>
    <t>專屬物料</t>
  </si>
  <si>
    <t>35</t>
  </si>
  <si>
    <t>輕軌通訊</t>
  </si>
  <si>
    <t>39</t>
  </si>
  <si>
    <t>輕軌機廠設備</t>
  </si>
  <si>
    <t>輕軌電聯車</t>
  </si>
  <si>
    <t>91</t>
  </si>
  <si>
    <t>電子類</t>
  </si>
  <si>
    <t>一般物料</t>
  </si>
  <si>
    <t>92</t>
  </si>
  <si>
    <t>電機類</t>
  </si>
  <si>
    <t>93</t>
  </si>
  <si>
    <t>機械類</t>
  </si>
  <si>
    <t>雜項類</t>
  </si>
  <si>
    <t>95</t>
  </si>
  <si>
    <t>工具類</t>
  </si>
  <si>
    <t>96</t>
  </si>
  <si>
    <t>儀器類</t>
  </si>
  <si>
    <t>類別碼</t>
  </si>
  <si>
    <t>類別名稱</t>
  </si>
  <si>
    <t>版本</t>
  </si>
  <si>
    <t>81</t>
  </si>
  <si>
    <t>電聯車特殊設備煞車類</t>
  </si>
  <si>
    <t>舊</t>
  </si>
  <si>
    <t>EH</t>
  </si>
  <si>
    <t>駕駛式暖氣</t>
  </si>
  <si>
    <t>82</t>
  </si>
  <si>
    <t>電聯車特殊設備聯結器類</t>
  </si>
  <si>
    <t>EP</t>
  </si>
  <si>
    <t>駕駛室控制面盤</t>
  </si>
  <si>
    <t>ER</t>
  </si>
  <si>
    <t>插座(110V)</t>
  </si>
  <si>
    <t>84</t>
  </si>
  <si>
    <t>電聯車特殊設備輔助電力類</t>
  </si>
  <si>
    <t>ES</t>
  </si>
  <si>
    <t>牽引換流器及輔助電源供應器</t>
  </si>
  <si>
    <t>85</t>
  </si>
  <si>
    <t>電聯車特殊設備車體類</t>
  </si>
  <si>
    <t>ET</t>
  </si>
  <si>
    <t>空調變頻器</t>
  </si>
  <si>
    <t>86</t>
  </si>
  <si>
    <t>電聯車特殊設備推進類</t>
  </si>
  <si>
    <t>EU</t>
  </si>
  <si>
    <t>集電弓</t>
  </si>
  <si>
    <t>87</t>
  </si>
  <si>
    <t>電聯車特殊設備轉向架及懸吊類</t>
  </si>
  <si>
    <t>KA</t>
  </si>
  <si>
    <t>空調風道</t>
  </si>
  <si>
    <t>KC</t>
  </si>
  <si>
    <t>駕駛室</t>
  </si>
  <si>
    <t>89</t>
  </si>
  <si>
    <t>電聯車特殊設備其他類</t>
  </si>
  <si>
    <t>KG</t>
  </si>
  <si>
    <t>車間通道</t>
  </si>
  <si>
    <t>電聯車電子類</t>
  </si>
  <si>
    <t>KL</t>
  </si>
  <si>
    <t>車廂</t>
  </si>
  <si>
    <t>電聯車電機類</t>
  </si>
  <si>
    <t>KS</t>
  </si>
  <si>
    <t>結構</t>
  </si>
  <si>
    <t>電聯車機械類</t>
  </si>
  <si>
    <t>KT</t>
  </si>
  <si>
    <t>內裝</t>
  </si>
  <si>
    <t>KW</t>
  </si>
  <si>
    <t>玻璃</t>
  </si>
  <si>
    <t>電聯車特殊工具</t>
  </si>
  <si>
    <t>LE</t>
  </si>
  <si>
    <t>車外照明</t>
  </si>
  <si>
    <t>BA</t>
  </si>
  <si>
    <t>空氣壓縮機</t>
  </si>
  <si>
    <t>LT</t>
  </si>
  <si>
    <t>車內照明</t>
  </si>
  <si>
    <t>BB</t>
  </si>
  <si>
    <t>煞車主機總成</t>
  </si>
  <si>
    <t>PA</t>
  </si>
  <si>
    <t>感抗器，推進</t>
  </si>
  <si>
    <t>BC</t>
  </si>
  <si>
    <t>排障器</t>
  </si>
  <si>
    <t>PB</t>
  </si>
  <si>
    <t>鼓風機，推進</t>
  </si>
  <si>
    <t>BD</t>
  </si>
  <si>
    <t>碟式煞車總成</t>
  </si>
  <si>
    <t>PG</t>
  </si>
  <si>
    <t>齒輪箱及連軸器</t>
  </si>
  <si>
    <t>BE</t>
  </si>
  <si>
    <t>液壓單元</t>
  </si>
  <si>
    <t>PL</t>
  </si>
  <si>
    <t>高速斷路器</t>
  </si>
  <si>
    <t>BF</t>
  </si>
  <si>
    <t>輔助液壓單元</t>
  </si>
  <si>
    <t>PM</t>
  </si>
  <si>
    <t>主控制器</t>
  </si>
  <si>
    <t>BL</t>
  </si>
  <si>
    <t>空氣管線設備</t>
  </si>
  <si>
    <t>PR</t>
  </si>
  <si>
    <t>煞車電阻箱</t>
  </si>
  <si>
    <t>BV</t>
  </si>
  <si>
    <t>閥，液壓單元</t>
  </si>
  <si>
    <t>PT</t>
  </si>
  <si>
    <t>推進馬達</t>
  </si>
  <si>
    <t>CM</t>
  </si>
  <si>
    <t>機械式聯結器</t>
  </si>
  <si>
    <t>TD</t>
  </si>
  <si>
    <t>轉向架與車體連結</t>
  </si>
  <si>
    <t>DE</t>
  </si>
  <si>
    <t>車內緊急逃生設備</t>
  </si>
  <si>
    <t>TF</t>
  </si>
  <si>
    <t>轉向架框總成</t>
  </si>
  <si>
    <t>DL</t>
  </si>
  <si>
    <t>設備櫃門</t>
  </si>
  <si>
    <t>TS</t>
  </si>
  <si>
    <t>懸吊</t>
  </si>
  <si>
    <t>DP</t>
  </si>
  <si>
    <t>駕駛室/車廂隔門</t>
  </si>
  <si>
    <t>TW</t>
  </si>
  <si>
    <t>車輪及車軸</t>
  </si>
  <si>
    <t>DS</t>
  </si>
  <si>
    <t>車廂側門</t>
  </si>
  <si>
    <t>VC</t>
  </si>
  <si>
    <t>壓縮機，空調</t>
  </si>
  <si>
    <t>EA</t>
  </si>
  <si>
    <t>電池(24V)</t>
  </si>
  <si>
    <t>VD</t>
  </si>
  <si>
    <t>冷凝器總成</t>
  </si>
  <si>
    <t>EB</t>
  </si>
  <si>
    <t>ESS</t>
  </si>
  <si>
    <t>VE</t>
  </si>
  <si>
    <t>蒸發器總成</t>
  </si>
  <si>
    <t>EC</t>
  </si>
  <si>
    <t>高頻整流器模組(CC400)</t>
  </si>
  <si>
    <t>VV</t>
  </si>
  <si>
    <t>空調總成</t>
  </si>
  <si>
    <t>EE</t>
  </si>
  <si>
    <t>旅客資訊顯示系統</t>
  </si>
  <si>
    <t>XX</t>
  </si>
  <si>
    <t>零用金購入物料</t>
  </si>
  <si>
    <t>AC</t>
  </si>
  <si>
    <t>車載用PC板</t>
  </si>
  <si>
    <t>MO</t>
  </si>
  <si>
    <t>機架、機箱、零件座(號誌)</t>
  </si>
  <si>
    <t>AN</t>
  </si>
  <si>
    <t>天線</t>
  </si>
  <si>
    <t>NV</t>
  </si>
  <si>
    <t>非維生設備</t>
  </si>
  <si>
    <t>AP</t>
  </si>
  <si>
    <t>ATP模組</t>
  </si>
  <si>
    <t>OT</t>
  </si>
  <si>
    <t>其他</t>
  </si>
  <si>
    <t>AR</t>
  </si>
  <si>
    <t>避雷器</t>
  </si>
  <si>
    <t>儀表面板</t>
  </si>
  <si>
    <t>AS</t>
  </si>
  <si>
    <t>自動絆腳閥</t>
  </si>
  <si>
    <t>PUSH BUTTON, KEY SWITCH</t>
  </si>
  <si>
    <t>BK</t>
  </si>
  <si>
    <t>斷路器</t>
  </si>
  <si>
    <t>印刷電路板</t>
  </si>
  <si>
    <t>BM</t>
  </si>
  <si>
    <t>停車模組</t>
  </si>
  <si>
    <t>PF</t>
  </si>
  <si>
    <t>PF軌道電路</t>
  </si>
  <si>
    <t>BT</t>
  </si>
  <si>
    <t>BTU設備</t>
  </si>
  <si>
    <t>可程式狀態監視系統</t>
  </si>
  <si>
    <t>BU</t>
  </si>
  <si>
    <t>煞車保証單元</t>
  </si>
  <si>
    <t>感測器</t>
  </si>
  <si>
    <t>CC</t>
  </si>
  <si>
    <t>CCR相關備品</t>
  </si>
  <si>
    <t>PS</t>
  </si>
  <si>
    <t>程式化停車設備</t>
  </si>
  <si>
    <t>CP</t>
  </si>
  <si>
    <t>CCR顯示面盤</t>
  </si>
  <si>
    <t>PW</t>
  </si>
  <si>
    <t>電源供應器</t>
  </si>
  <si>
    <t>CT</t>
  </si>
  <si>
    <t>連接器接/線端子</t>
  </si>
  <si>
    <t>RE</t>
  </si>
  <si>
    <t>電驛</t>
  </si>
  <si>
    <t>DEC電腦設備</t>
  </si>
  <si>
    <t>RF</t>
  </si>
  <si>
    <t>整流器</t>
  </si>
  <si>
    <t>顯示器</t>
  </si>
  <si>
    <t>SB</t>
  </si>
  <si>
    <t>SW BOX機架設備(SEVER)</t>
  </si>
  <si>
    <t>FL</t>
  </si>
  <si>
    <t>四呎迴路線圈</t>
  </si>
  <si>
    <t>SP</t>
  </si>
  <si>
    <t>特殊工具</t>
  </si>
  <si>
    <t>FU</t>
  </si>
  <si>
    <t>軌道電路保險絲</t>
  </si>
  <si>
    <t>SW</t>
  </si>
  <si>
    <t>轉轍器</t>
  </si>
  <si>
    <t>GD</t>
  </si>
  <si>
    <t>漏電偵測器</t>
  </si>
  <si>
    <t>TE</t>
  </si>
  <si>
    <t>測試儀器設備</t>
  </si>
  <si>
    <t>GS</t>
  </si>
  <si>
    <t>GENISYS設備</t>
  </si>
  <si>
    <t>TR</t>
  </si>
  <si>
    <t>終端接收器板</t>
  </si>
  <si>
    <t>IM</t>
  </si>
  <si>
    <t>阻抗搭接器</t>
  </si>
  <si>
    <t>TU</t>
  </si>
  <si>
    <t>調諧單元</t>
  </si>
  <si>
    <t>JC</t>
  </si>
  <si>
    <t>J  CABINET</t>
  </si>
  <si>
    <t>UP</t>
  </si>
  <si>
    <t>不斷電系統</t>
  </si>
  <si>
    <t>LC</t>
  </si>
  <si>
    <t>迴路耦合單元</t>
  </si>
  <si>
    <t>VP</t>
  </si>
  <si>
    <t>VPI相關設備</t>
  </si>
  <si>
    <t>LP</t>
  </si>
  <si>
    <t>LCMP設備零件</t>
  </si>
  <si>
    <t>號誌/控制零用金購入物料</t>
  </si>
  <si>
    <t>ML</t>
  </si>
  <si>
    <t>MICROLOK 微處理器模組</t>
  </si>
  <si>
    <t>TC</t>
  </si>
  <si>
    <t>平面道路號誌</t>
  </si>
  <si>
    <t>AX</t>
  </si>
  <si>
    <t>計軸器</t>
  </si>
  <si>
    <t>TA</t>
  </si>
  <si>
    <t>TETRA</t>
  </si>
  <si>
    <t>IT</t>
  </si>
  <si>
    <t>ITMS監控設備</t>
  </si>
  <si>
    <t>TG</t>
  </si>
  <si>
    <t>被動式標籤相關設備</t>
  </si>
  <si>
    <t>LI</t>
  </si>
  <si>
    <t>號誌機與標誌</t>
  </si>
  <si>
    <t>UC</t>
  </si>
  <si>
    <t>會車區設備</t>
  </si>
  <si>
    <t>OB</t>
  </si>
  <si>
    <t>OBCU</t>
  </si>
  <si>
    <t>BS</t>
  </si>
  <si>
    <t>廣播系統</t>
  </si>
  <si>
    <t>11</t>
  </si>
  <si>
    <t>EPABX</t>
  </si>
  <si>
    <t>19</t>
  </si>
  <si>
    <t>DLT</t>
  </si>
  <si>
    <t>12</t>
  </si>
  <si>
    <t>CCTV</t>
  </si>
  <si>
    <t>20</t>
  </si>
  <si>
    <t>ON-TRAIN</t>
  </si>
  <si>
    <t>13</t>
  </si>
  <si>
    <t>21</t>
  </si>
  <si>
    <t>E-MAIL</t>
  </si>
  <si>
    <t>14</t>
  </si>
  <si>
    <t>PCM/NM/EAIS</t>
  </si>
  <si>
    <t>22</t>
  </si>
  <si>
    <t>CLOCK</t>
  </si>
  <si>
    <t>15</t>
  </si>
  <si>
    <t>OPTICAL FIBER</t>
  </si>
  <si>
    <t>24</t>
  </si>
  <si>
    <t>MULTI-CHANNEL AUDIO TAPE RECORDER</t>
  </si>
  <si>
    <t>16</t>
  </si>
  <si>
    <t>RADIO</t>
  </si>
  <si>
    <t>25</t>
  </si>
  <si>
    <t>其他(CABLE)</t>
  </si>
  <si>
    <t>17</t>
  </si>
  <si>
    <t>99</t>
  </si>
  <si>
    <t>COMMON BOARD</t>
  </si>
  <si>
    <t>18</t>
  </si>
  <si>
    <t>PIDS</t>
  </si>
  <si>
    <t>通訊零用金購入物料</t>
  </si>
  <si>
    <t>26</t>
  </si>
  <si>
    <t>CTS</t>
  </si>
  <si>
    <t>28</t>
  </si>
  <si>
    <t>TEL</t>
  </si>
  <si>
    <t>27</t>
  </si>
  <si>
    <t>SCADA</t>
  </si>
  <si>
    <t>00</t>
  </si>
  <si>
    <t>36</t>
  </si>
  <si>
    <t>萬能工具磨床</t>
  </si>
  <si>
    <t>01</t>
  </si>
  <si>
    <t>01 加砂</t>
  </si>
  <si>
    <t>37</t>
  </si>
  <si>
    <t>精密高速車床</t>
  </si>
  <si>
    <t>02</t>
  </si>
  <si>
    <t>02 1t</t>
  </si>
  <si>
    <t>38</t>
  </si>
  <si>
    <t>銑床</t>
  </si>
  <si>
    <t>03</t>
  </si>
  <si>
    <t>03 2.5t</t>
  </si>
  <si>
    <t>鋸床</t>
  </si>
  <si>
    <t>04</t>
  </si>
  <si>
    <t>04 2.8t</t>
  </si>
  <si>
    <t>40</t>
  </si>
  <si>
    <t>零件清洗機</t>
  </si>
  <si>
    <t>05</t>
  </si>
  <si>
    <t>05 8t</t>
  </si>
  <si>
    <t>41</t>
  </si>
  <si>
    <t>噴砂清洗機</t>
  </si>
  <si>
    <t>06</t>
  </si>
  <si>
    <t>06 直流</t>
  </si>
  <si>
    <t>42</t>
  </si>
  <si>
    <t>電弧焊接設備</t>
  </si>
  <si>
    <t>10</t>
  </si>
  <si>
    <t>車身及轉向架舉昇設備</t>
  </si>
  <si>
    <t>43</t>
  </si>
  <si>
    <t>電動油壓拖板車</t>
  </si>
  <si>
    <t>移動式頂昇設備</t>
  </si>
  <si>
    <t>44</t>
  </si>
  <si>
    <t>1000kg油壓升降台</t>
  </si>
  <si>
    <t>車輪搪孔機</t>
  </si>
  <si>
    <t>45</t>
  </si>
  <si>
    <t>2000kg油壓升降台</t>
  </si>
  <si>
    <t>輪軸車床</t>
  </si>
  <si>
    <t>46</t>
  </si>
  <si>
    <t>前負荷式堆高機電池充電器</t>
  </si>
  <si>
    <t>地上車床</t>
  </si>
  <si>
    <t>47</t>
  </si>
  <si>
    <t>電聯車電池充電器</t>
  </si>
  <si>
    <t>磁粉探傷機</t>
  </si>
  <si>
    <t>48</t>
  </si>
  <si>
    <t>三向式堆高機電池充電器</t>
  </si>
  <si>
    <t>移動式磁粉探傷機</t>
  </si>
  <si>
    <t>49</t>
  </si>
  <si>
    <t>鐵道車輛調度車</t>
  </si>
  <si>
    <t>地下車床</t>
  </si>
  <si>
    <t>前負荷式堆高機</t>
  </si>
  <si>
    <t>切屑輸送系統</t>
  </si>
  <si>
    <t>51</t>
  </si>
  <si>
    <t>重型砂輪機</t>
  </si>
  <si>
    <t>車輛推移系統</t>
  </si>
  <si>
    <t>52</t>
  </si>
  <si>
    <t>三向式堆高機</t>
  </si>
  <si>
    <t>列車清洗系統</t>
  </si>
  <si>
    <t>53</t>
  </si>
  <si>
    <t>掃地機</t>
  </si>
  <si>
    <t>車輪壓床</t>
  </si>
  <si>
    <t>54</t>
  </si>
  <si>
    <t>垂直循環式倉儲機</t>
  </si>
  <si>
    <t>轉向架頂昇設備</t>
  </si>
  <si>
    <t>55</t>
  </si>
  <si>
    <t>DAEWOO四噸堆高機</t>
  </si>
  <si>
    <t>23</t>
  </si>
  <si>
    <t>壓縮空氣系統</t>
  </si>
  <si>
    <t>56</t>
  </si>
  <si>
    <t>1.5噸堆高機用品</t>
  </si>
  <si>
    <t>潤滑油系統</t>
  </si>
  <si>
    <t>57</t>
  </si>
  <si>
    <t>機車頭備品</t>
  </si>
  <si>
    <t>移動式供電系統</t>
  </si>
  <si>
    <t>58</t>
  </si>
  <si>
    <t>拉線車兼高空作業車</t>
  </si>
  <si>
    <t>噴漆房設備</t>
  </si>
  <si>
    <t>59</t>
  </si>
  <si>
    <t>電動牽引車</t>
  </si>
  <si>
    <t>轉向架清洗設備</t>
  </si>
  <si>
    <t>60</t>
  </si>
  <si>
    <t>輕型路軌兩用調車機</t>
  </si>
  <si>
    <t>復軌設備</t>
  </si>
  <si>
    <t>61</t>
  </si>
  <si>
    <t>袋濾式砂輪機</t>
  </si>
  <si>
    <t>29</t>
  </si>
  <si>
    <t>鐵公路兩用車</t>
  </si>
  <si>
    <t>62</t>
  </si>
  <si>
    <t>銲接集塵過濾設備</t>
  </si>
  <si>
    <t>30</t>
  </si>
  <si>
    <t>油壓式運料電梯</t>
  </si>
  <si>
    <t>A1</t>
  </si>
  <si>
    <t>15噸橋式天車</t>
  </si>
  <si>
    <t>31</t>
  </si>
  <si>
    <t>輪軸清洗機</t>
  </si>
  <si>
    <t>A2</t>
  </si>
  <si>
    <t>10噸橋式天車</t>
  </si>
  <si>
    <t>廢油回收系統</t>
  </si>
  <si>
    <t>A3</t>
  </si>
  <si>
    <t>5噸橋式天車</t>
  </si>
  <si>
    <t>33</t>
  </si>
  <si>
    <t>底盤清洗設備</t>
  </si>
  <si>
    <t>A4</t>
  </si>
  <si>
    <t>5噸懸臂吊車</t>
  </si>
  <si>
    <t>34</t>
  </si>
  <si>
    <t>懸臂鑽床</t>
  </si>
  <si>
    <t>A5</t>
  </si>
  <si>
    <t>3噸懸臂吊車</t>
  </si>
  <si>
    <t>重型直立式鑽床</t>
  </si>
  <si>
    <t>A6</t>
  </si>
  <si>
    <t>2噸懸臂吊車</t>
  </si>
  <si>
    <t>A7</t>
  </si>
  <si>
    <t>手動轉向架轉盤</t>
  </si>
  <si>
    <t>A8</t>
  </si>
  <si>
    <t>電動轉向架轉盤</t>
  </si>
  <si>
    <t>A9</t>
  </si>
  <si>
    <t>車輪/齒輪箱轉盤</t>
  </si>
  <si>
    <t>機廠設備零用金購入物料</t>
  </si>
  <si>
    <t>電容</t>
  </si>
  <si>
    <t>07</t>
  </si>
  <si>
    <t>IC積體電路</t>
  </si>
  <si>
    <t>電晶體</t>
  </si>
  <si>
    <t>08</t>
  </si>
  <si>
    <t>電阻</t>
  </si>
  <si>
    <t>09</t>
  </si>
  <si>
    <t>振盪器</t>
  </si>
  <si>
    <t>揚聲器</t>
  </si>
  <si>
    <t>發光二極體</t>
  </si>
  <si>
    <t>二極體</t>
  </si>
  <si>
    <t>電子類零用金購入物料</t>
  </si>
  <si>
    <t>電線、電纜</t>
  </si>
  <si>
    <t>偵測器、試驗機</t>
  </si>
  <si>
    <t>保險絲</t>
  </si>
  <si>
    <t>電動機、送風機</t>
  </si>
  <si>
    <t>起動器、安定器</t>
  </si>
  <si>
    <t>絕緣用品</t>
  </si>
  <si>
    <t>電池</t>
  </si>
  <si>
    <t>電燈泡、管、照明</t>
  </si>
  <si>
    <t>電線基座</t>
  </si>
  <si>
    <t>變壓器</t>
  </si>
  <si>
    <t>電焊用品</t>
  </si>
  <si>
    <t>接頭、插座</t>
  </si>
  <si>
    <t>開關</t>
  </si>
  <si>
    <t>電機類零用金購入物料</t>
  </si>
  <si>
    <t>螺栓、螺絲、螺釘</t>
  </si>
  <si>
    <t>焊接品</t>
  </si>
  <si>
    <t>鉚釘</t>
  </si>
  <si>
    <t>彈簧</t>
  </si>
  <si>
    <t>鐵釘</t>
  </si>
  <si>
    <t>扣環</t>
  </si>
  <si>
    <t>螺帽</t>
  </si>
  <si>
    <t>鏈</t>
  </si>
  <si>
    <t>墊圈、墊片</t>
  </si>
  <si>
    <t>碳刷</t>
  </si>
  <si>
    <t>插銷</t>
  </si>
  <si>
    <t>聯接器模組</t>
  </si>
  <si>
    <t>軸承及配件</t>
  </si>
  <si>
    <t>鑽頭</t>
  </si>
  <si>
    <t>鍊條、鋼纜、鋼絲</t>
  </si>
  <si>
    <t>機械類零用金購入物料</t>
  </si>
  <si>
    <t>鋼材</t>
  </si>
  <si>
    <t>油漆</t>
  </si>
  <si>
    <t>黏劑</t>
  </si>
  <si>
    <t>蓄電池用品</t>
  </si>
  <si>
    <t>蓋板、水箱</t>
  </si>
  <si>
    <t>刷子類</t>
  </si>
  <si>
    <t>安全裝備</t>
  </si>
  <si>
    <t>塗料</t>
  </si>
  <si>
    <t>消防設備</t>
  </si>
  <si>
    <t>化學藥劑</t>
  </si>
  <si>
    <t>包裝用品</t>
  </si>
  <si>
    <t>清潔用品</t>
  </si>
  <si>
    <t>氣體</t>
  </si>
  <si>
    <t>建築材料</t>
  </si>
  <si>
    <t>乾燥劑、防腐劑</t>
  </si>
  <si>
    <t>木材</t>
  </si>
  <si>
    <t>輪胎</t>
  </si>
  <si>
    <t>門、窗及五金、連桿件</t>
  </si>
  <si>
    <t>管類</t>
  </si>
  <si>
    <t>紙類</t>
  </si>
  <si>
    <t>溶劑</t>
  </si>
  <si>
    <t>磨輪、砂紙</t>
  </si>
  <si>
    <t>閥類</t>
  </si>
  <si>
    <t>過濾器</t>
  </si>
  <si>
    <t>皮帶</t>
  </si>
  <si>
    <t>燃料油</t>
  </si>
  <si>
    <t>封膠類(含金屬類)</t>
  </si>
  <si>
    <t>電腦用品</t>
  </si>
  <si>
    <t>旋塞類</t>
  </si>
  <si>
    <t>水電材料</t>
  </si>
  <si>
    <t>油脂類</t>
  </si>
  <si>
    <t>雜項類零用金購入物料</t>
  </si>
  <si>
    <t>指示標</t>
  </si>
  <si>
    <t>大賣場開口契約</t>
  </si>
  <si>
    <t>扳手及工具</t>
  </si>
  <si>
    <t>噴槍</t>
  </si>
  <si>
    <t>起子及工具</t>
  </si>
  <si>
    <t>墊片</t>
  </si>
  <si>
    <t>鉗子及工具</t>
  </si>
  <si>
    <t>虎鉗</t>
  </si>
  <si>
    <t>錘子及工具</t>
  </si>
  <si>
    <t>延長線</t>
  </si>
  <si>
    <t>衝子及工具</t>
  </si>
  <si>
    <t>拔釘器</t>
  </si>
  <si>
    <t>鏟子及工具</t>
  </si>
  <si>
    <t>剪斷器</t>
  </si>
  <si>
    <t>刷子及工具</t>
  </si>
  <si>
    <t>清洗器</t>
  </si>
  <si>
    <t>管工具</t>
  </si>
  <si>
    <t>輪磨機</t>
  </si>
  <si>
    <t>照明工具</t>
  </si>
  <si>
    <t>升降機</t>
  </si>
  <si>
    <t>注入工具(油、水)</t>
  </si>
  <si>
    <t>搬運車</t>
  </si>
  <si>
    <t>壓焊接工具</t>
  </si>
  <si>
    <t>工作台</t>
  </si>
  <si>
    <t>安全工具</t>
  </si>
  <si>
    <t>千斤頂</t>
  </si>
  <si>
    <t>銼刀及工具</t>
  </si>
  <si>
    <t>工作梯</t>
  </si>
  <si>
    <t>鉸刀及工具</t>
  </si>
  <si>
    <t>發電機</t>
  </si>
  <si>
    <t>鋸子及工具</t>
  </si>
  <si>
    <t>泵、馬達、壓縮機</t>
  </si>
  <si>
    <t>銑刀及工具</t>
  </si>
  <si>
    <t>化學儀器</t>
  </si>
  <si>
    <t>車刀及工具</t>
  </si>
  <si>
    <t>測試板</t>
  </si>
  <si>
    <t>刨刀及工具</t>
  </si>
  <si>
    <t>維修包</t>
  </si>
  <si>
    <t>鑽機及工具</t>
  </si>
  <si>
    <t>標示機、印表機、電漆筆、電刻筆</t>
  </si>
  <si>
    <t>夾頭及工具</t>
  </si>
  <si>
    <t>螺絲攻及把手</t>
  </si>
  <si>
    <t>高運量電聯車特殊工具</t>
  </si>
  <si>
    <t>氣動工具</t>
  </si>
  <si>
    <t>工具類零用金購入物料</t>
  </si>
  <si>
    <t>[object Object]</t>
  </si>
  <si>
    <t>暫態波形紀錄器</t>
  </si>
  <si>
    <t>溫濕度測定計</t>
  </si>
  <si>
    <t>電子式推拉力計</t>
  </si>
  <si>
    <t>游標卡尺</t>
  </si>
  <si>
    <t>計頻器</t>
  </si>
  <si>
    <t>精密噪音計</t>
  </si>
  <si>
    <t>針盤指示量錶</t>
  </si>
  <si>
    <t>電阻電感電容表</t>
  </si>
  <si>
    <t>數位式電錶</t>
  </si>
  <si>
    <t>邏輯電路分析儀-2</t>
  </si>
  <si>
    <t>數位相序計</t>
  </si>
  <si>
    <t>萬用型IC燒錄器</t>
  </si>
  <si>
    <t>數位掌上型電錶示波器</t>
  </si>
  <si>
    <t>直流耐壓測試器</t>
  </si>
  <si>
    <t>數位儲存示波器</t>
  </si>
  <si>
    <t>非接觸高壓驗電器</t>
  </si>
  <si>
    <t>攜帶式振動計</t>
  </si>
  <si>
    <t>高阻計(1KV)</t>
  </si>
  <si>
    <t>紅外線熱影像分析儀</t>
  </si>
  <si>
    <t>交直流鉤錶</t>
  </si>
  <si>
    <t>任意函數產生器</t>
  </si>
  <si>
    <t>自動式冷媒檢漏器</t>
  </si>
  <si>
    <t>數位精密電錶</t>
  </si>
  <si>
    <t>冷煤壓力表</t>
  </si>
  <si>
    <t>可調式電阻箱</t>
  </si>
  <si>
    <t>防水型PH/TDS/電導度/溫度測試筆</t>
  </si>
  <si>
    <t>信號產生器</t>
  </si>
  <si>
    <t>兩用型轉速器</t>
  </si>
  <si>
    <t>風罩式風速計</t>
  </si>
  <si>
    <t>網路線測試器-1</t>
  </si>
  <si>
    <t>高壓絕緣測試器</t>
  </si>
  <si>
    <t>網路線測試器-2</t>
  </si>
  <si>
    <t>掌上型風速計</t>
  </si>
  <si>
    <t>多功能精密萬用電表</t>
  </si>
  <si>
    <t>掌上型數位LCR分析儀</t>
  </si>
  <si>
    <t>交直流勾式電流錶</t>
  </si>
  <si>
    <t>雷射測距儀</t>
  </si>
  <si>
    <t>直流電源供應器</t>
  </si>
  <si>
    <t>電池測試器</t>
  </si>
  <si>
    <t>紅外線溫度計</t>
  </si>
  <si>
    <t>數位式照度計</t>
  </si>
  <si>
    <t>掌上型LCR電錶</t>
  </si>
  <si>
    <t>YY</t>
  </si>
  <si>
    <t>數位低阻計</t>
  </si>
  <si>
    <t>絕緣數位萬用表</t>
  </si>
  <si>
    <t>儀器類零用金購入物料</t>
  </si>
  <si>
    <t>代碼</t>
  </si>
  <si>
    <t>子系統名稱</t>
  </si>
  <si>
    <t>DOOR</t>
  </si>
  <si>
    <t>COUPLER</t>
  </si>
  <si>
    <t>車間連結系統</t>
  </si>
  <si>
    <t>CONTROL</t>
  </si>
  <si>
    <t>車輛操作及控制設備系統</t>
  </si>
  <si>
    <t>BODY</t>
  </si>
  <si>
    <t>車體系統</t>
  </si>
  <si>
    <t>HVAC</t>
  </si>
  <si>
    <t>BRAKE</t>
  </si>
  <si>
    <t>煞車系統</t>
  </si>
  <si>
    <t>LIGHT</t>
  </si>
  <si>
    <t>照明系統</t>
  </si>
  <si>
    <t>PROP</t>
  </si>
  <si>
    <t>電力與推進系統</t>
  </si>
  <si>
    <t>SAFETY</t>
  </si>
  <si>
    <t>監控與安全裝置系統</t>
  </si>
  <si>
    <t>BOGIE</t>
  </si>
  <si>
    <t>轉向架系統</t>
  </si>
  <si>
    <t>COMM</t>
  </si>
  <si>
    <t>車載通訊系統</t>
  </si>
  <si>
    <t>SIGNAL</t>
  </si>
  <si>
    <t>車載號誌系統</t>
  </si>
  <si>
    <t>單位</t>
  </si>
  <si>
    <t>說明</t>
  </si>
  <si>
    <t>組/套</t>
  </si>
  <si>
    <t>個/件</t>
  </si>
  <si>
    <t>SET</t>
  </si>
  <si>
    <t>組</t>
  </si>
  <si>
    <t>個</t>
  </si>
  <si>
    <t>PCS</t>
  </si>
  <si>
    <t>片</t>
  </si>
  <si>
    <t>M</t>
  </si>
  <si>
    <t>公尺</t>
  </si>
  <si>
    <t>L</t>
  </si>
  <si>
    <t>公升</t>
  </si>
  <si>
    <t>CAN</t>
  </si>
  <si>
    <t>罐</t>
  </si>
  <si>
    <t>BOX</t>
  </si>
  <si>
    <t>箱</t>
  </si>
  <si>
    <t>淡海輕軌 物料匯入範本 — 填寫說明</t>
  </si>
  <si>
    <t>A</t>
  </si>
  <si>
    <t>一、編碼格式（料號 = 系統碼.類別碼.流水號.型式碼，共10碼）</t>
  </si>
  <si>
    <t xml:space="preserve">  料號由前4欄自動組成，例如 50.83.0001.LO。請勿手填「料號」欄。</t>
  </si>
  <si>
    <t>B</t>
  </si>
  <si>
    <t>二、必填欄位（標 *）：系統碼、類別碼、流水號、型式碼、物料名稱、單位</t>
  </si>
  <si>
    <t>C</t>
  </si>
  <si>
    <t>三、各欄位 → 資料庫 material 對照</t>
  </si>
  <si>
    <t xml:space="preserve">  系統碼→system_code　類別碼→category_code　流水號→sequence_no　型式碼→type_code</t>
  </si>
  <si>
    <t xml:space="preserve">  料號→part_no　物料名稱→material_name　規格→spec　單位→unit</t>
  </si>
  <si>
    <t xml:space="preserve">  物料屬性→material_property　系統名稱→system_name　類別名稱→category_name</t>
  </si>
  <si>
    <t xml:space="preserve">  安全等級→safety_level　可修件→repairable　序號管理→is_serialized</t>
  </si>
  <si>
    <t xml:space="preserve">  請購點→reorder_point　交期天數→lead_time_days　預估單價→estimated_unit_price</t>
  </si>
  <si>
    <t xml:space="preserve">  市售品→market_available　檢討說明→review_note</t>
  </si>
  <si>
    <t>D</t>
  </si>
  <si>
    <t>四、自動欄位（灰底，請勿填）</t>
  </si>
  <si>
    <t xml:space="preserve">  料號、物料屬性、系統名稱 由公式自動帶出（依系統碼）。</t>
  </si>
  <si>
    <t>E</t>
  </si>
  <si>
    <t>五、取值規則</t>
  </si>
  <si>
    <t xml:space="preserve">  系統碼：下拉 10 碼（見「系統碼表」）。類別碼：見「類別碼表」依系統碼查。</t>
  </si>
  <si>
    <t xml:space="preserve">  單位：下拉（見「單位表」），可自行輸入其他。</t>
  </si>
  <si>
    <t xml:space="preserve">  可修件／序號管理／市售品：是 或 否。安全等級：1/2/3/4/未分類。</t>
  </si>
  <si>
    <t xml:space="preserve">  is_active 不需填，匯入時預設為「啟用」。</t>
  </si>
  <si>
    <t>F</t>
  </si>
  <si>
    <t>六、子系統（選填）</t>
  </si>
  <si>
    <t xml:space="preserve">  「子系統」是車輛功能分類（12項，見「子系統清單」），與官方系統碼是不同維度；</t>
  </si>
  <si>
    <t xml:space="preserve">  目前資料庫尚無獨立欄位，先當標記。若要正式儲存，需新增欄位（待決定）。</t>
  </si>
  <si>
    <t>G</t>
  </si>
  <si>
    <t>七、匯入前務必刪除 3 列黃底「範例」資料。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</si>
</sst>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Microsoft JhengHei"/>
    </font>
    <font>
      <b/>
      <sz val="13"/>
      <name val="Microsoft JhengHei"/>
    </font>
    <font>
      <sz val="10"/>
      <name val="Microsoft JhengHei"/>
    </font>
    <font>
      <b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7E0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5" max="5" width="18" customWidth="1"/>
    <col min="6" max="6" width="26" customWidth="1"/>
    <col min="7" max="7" width="32" customWidth="1"/>
    <col min="8" max="8" width="8" customWidth="1"/>
    <col min="9" max="9" width="13" customWidth="1"/>
    <col min="10" max="10" width="14" customWidth="1"/>
    <col min="11" max="11" width="18" customWidth="1"/>
    <col min="12" max="12" width="22" customWidth="1"/>
    <col min="14" max="14" width="8" customWidth="1"/>
    <col min="16" max="16" width="8" customWidth="1"/>
    <col min="19" max="19" width="8" customWidth="1"/>
    <col min="20" max="20" width="28" customWidth="1"/>
  </cols>
  <sheetData>
    <row r="1" ht="2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>
        <f>IF($A2="","",$A2&amp;"."&amp;$B2&amp;"."&amp;$C2&amp;"."&amp;$D2)</f>
      </c>
      <c r="F2" s="2" t="s">
        <v>24</v>
      </c>
      <c r="G2" s="2" t="s">
        <v>25</v>
      </c>
      <c r="H2" s="2" t="s">
        <v>26</v>
      </c>
      <c r="I2">
        <f>IFERROR(VLOOKUP($A2,系統碼表!$A:$C,3,FALSE),"")</f>
      </c>
      <c r="J2">
        <f>IFERROR(VLOOKUP($A2,系統碼表!$A:$C,2,FALSE),"")</f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30</v>
      </c>
      <c r="P2" s="2">
        <v>0</v>
      </c>
      <c r="S2" s="2" t="s">
        <v>31</v>
      </c>
      <c r="T2" s="2" t="s">
        <v>32</v>
      </c>
    </row>
    <row r="3" spans="1:20" x14ac:dyDescent="0.25">
      <c r="A3" s="2" t="s">
        <v>20</v>
      </c>
      <c r="B3" s="2" t="s">
        <v>33</v>
      </c>
      <c r="C3" s="2" t="s">
        <v>34</v>
      </c>
      <c r="D3" s="2" t="s">
        <v>23</v>
      </c>
      <c r="E3">
        <f>IF($A3="","",$A3&amp;"."&amp;$B3&amp;"."&amp;$C3&amp;"."&amp;$D3)</f>
      </c>
      <c r="F3" s="2" t="s">
        <v>35</v>
      </c>
      <c r="G3" s="2" t="s">
        <v>36</v>
      </c>
      <c r="H3" s="2" t="s">
        <v>37</v>
      </c>
      <c r="I3">
        <f>IFERROR(VLOOKUP($A3,系統碼表!$A:$C,3,FALSE),"")</f>
      </c>
      <c r="J3">
        <f>IFERROR(VLOOKUP($A3,系統碼表!$A:$C,2,FALSE),"")</f>
      </c>
      <c r="K3" s="2" t="s">
        <v>38</v>
      </c>
      <c r="L3" s="2" t="s">
        <v>39</v>
      </c>
      <c r="N3" s="2" t="s">
        <v>30</v>
      </c>
      <c r="O3" s="2" t="s">
        <v>30</v>
      </c>
      <c r="P3" s="2">
        <v>0</v>
      </c>
      <c r="S3" s="2" t="s">
        <v>31</v>
      </c>
      <c r="T3" s="2" t="s">
        <v>32</v>
      </c>
    </row>
    <row r="4" spans="1:20" x14ac:dyDescent="0.25">
      <c r="A4" s="2" t="s">
        <v>20</v>
      </c>
      <c r="B4" s="2" t="s">
        <v>40</v>
      </c>
      <c r="C4" s="2" t="s">
        <v>41</v>
      </c>
      <c r="D4" s="2" t="s">
        <v>23</v>
      </c>
      <c r="E4">
        <f>IF($A4="","",$A4&amp;"."&amp;$B4&amp;"."&amp;$C4&amp;"."&amp;$D4)</f>
      </c>
      <c r="F4" s="2" t="s">
        <v>42</v>
      </c>
      <c r="G4" s="2" t="s">
        <v>43</v>
      </c>
      <c r="H4" s="2" t="s">
        <v>26</v>
      </c>
      <c r="I4">
        <f>IFERROR(VLOOKUP($A4,系統碼表!$A:$C,3,FALSE),"")</f>
      </c>
      <c r="J4">
        <f>IFERROR(VLOOKUP($A4,系統碼表!$A:$C,2,FALSE),"")</f>
      </c>
      <c r="L4" s="2" t="s">
        <v>44</v>
      </c>
      <c r="N4" s="2" t="s">
        <v>30</v>
      </c>
      <c r="O4" s="2" t="s">
        <v>30</v>
      </c>
      <c r="P4" s="2">
        <v>0</v>
      </c>
      <c r="S4" s="2" t="s">
        <v>31</v>
      </c>
      <c r="T4" s="2" t="s">
        <v>32</v>
      </c>
    </row>
    <row r="5" spans="1:19" x14ac:dyDescent="0.25">
      <c r="E5" s="3">
        <f>IF($A5="","",$A5&amp;"."&amp;$B5&amp;"."&amp;$C5&amp;"."&amp;$D5)</f>
      </c>
      <c r="I5" s="3">
        <f>IFERROR(VLOOKUP($A5,系統碼表!$A:$C,3,FALSE),"")</f>
      </c>
      <c r="J5" s="3">
        <f>IFERROR(VLOOKUP($A5,系統碼表!$A:$C,2,FALSE),"")</f>
      </c>
    </row>
    <row r="6" spans="1:19" x14ac:dyDescent="0.25">
      <c r="E6" s="3">
        <f>IF($A6="","",$A6&amp;"."&amp;$B6&amp;"."&amp;$C6&amp;"."&amp;$D6)</f>
      </c>
      <c r="I6" s="3">
        <f>IFERROR(VLOOKUP($A6,系統碼表!$A:$C,3,FALSE),"")</f>
      </c>
      <c r="J6" s="3">
        <f>IFERROR(VLOOKUP($A6,系統碼表!$A:$C,2,FALSE),"")</f>
      </c>
    </row>
    <row r="7" spans="1:19" x14ac:dyDescent="0.25">
      <c r="E7" s="3">
        <f>IF($A7="","",$A7&amp;"."&amp;$B7&amp;"."&amp;$C7&amp;"."&amp;$D7)</f>
      </c>
      <c r="I7" s="3">
        <f>IFERROR(VLOOKUP($A7,系統碼表!$A:$C,3,FALSE),"")</f>
      </c>
      <c r="J7" s="3">
        <f>IFERROR(VLOOKUP($A7,系統碼表!$A:$C,2,FALSE),"")</f>
      </c>
    </row>
    <row r="8" spans="1:19" x14ac:dyDescent="0.25">
      <c r="E8" s="3">
        <f>IF($A8="","",$A8&amp;"."&amp;$B8&amp;"."&amp;$C8&amp;"."&amp;$D8)</f>
      </c>
      <c r="I8" s="3">
        <f>IFERROR(VLOOKUP($A8,系統碼表!$A:$C,3,FALSE),"")</f>
      </c>
      <c r="J8" s="3">
        <f>IFERROR(VLOOKUP($A8,系統碼表!$A:$C,2,FALSE),"")</f>
      </c>
    </row>
    <row r="9" spans="1:19" x14ac:dyDescent="0.25">
      <c r="E9" s="3">
        <f>IF($A9="","",$A9&amp;"."&amp;$B9&amp;"."&amp;$C9&amp;"."&amp;$D9)</f>
      </c>
      <c r="I9" s="3">
        <f>IFERROR(VLOOKUP($A9,系統碼表!$A:$C,3,FALSE),"")</f>
      </c>
      <c r="J9" s="3">
        <f>IFERROR(VLOOKUP($A9,系統碼表!$A:$C,2,FALSE),"")</f>
      </c>
    </row>
    <row r="10" spans="1:19" x14ac:dyDescent="0.25">
      <c r="E10" s="3">
        <f>IF($A10="","",$A10&amp;"."&amp;$B10&amp;"."&amp;$C10&amp;"."&amp;$D10)</f>
      </c>
      <c r="I10" s="3">
        <f>IFERROR(VLOOKUP($A10,系統碼表!$A:$C,3,FALSE),"")</f>
      </c>
      <c r="J10" s="3">
        <f>IFERROR(VLOOKUP($A10,系統碼表!$A:$C,2,FALSE),"")</f>
      </c>
    </row>
    <row r="11" spans="1:19" x14ac:dyDescent="0.25">
      <c r="E11" s="3">
        <f>IF($A11="","",$A11&amp;"."&amp;$B11&amp;"."&amp;$C11&amp;"."&amp;$D11)</f>
      </c>
      <c r="I11" s="3">
        <f>IFERROR(VLOOKUP($A11,系統碼表!$A:$C,3,FALSE),"")</f>
      </c>
      <c r="J11" s="3">
        <f>IFERROR(VLOOKUP($A11,系統碼表!$A:$C,2,FALSE),"")</f>
      </c>
    </row>
    <row r="12" spans="1:19" x14ac:dyDescent="0.25">
      <c r="E12" s="3">
        <f>IF($A12="","",$A12&amp;"."&amp;$B12&amp;"."&amp;$C12&amp;"."&amp;$D12)</f>
      </c>
      <c r="I12" s="3">
        <f>IFERROR(VLOOKUP($A12,系統碼表!$A:$C,3,FALSE),"")</f>
      </c>
      <c r="J12" s="3">
        <f>IFERROR(VLOOKUP($A12,系統碼表!$A:$C,2,FALSE),"")</f>
      </c>
    </row>
    <row r="13" spans="1:19" x14ac:dyDescent="0.25">
      <c r="E13" s="3">
        <f>IF($A13="","",$A13&amp;"."&amp;$B13&amp;"."&amp;$C13&amp;"."&amp;$D13)</f>
      </c>
      <c r="I13" s="3">
        <f>IFERROR(VLOOKUP($A13,系統碼表!$A:$C,3,FALSE),"")</f>
      </c>
      <c r="J13" s="3">
        <f>IFERROR(VLOOKUP($A13,系統碼表!$A:$C,2,FALSE),"")</f>
      </c>
    </row>
    <row r="14" spans="1:19" x14ac:dyDescent="0.25">
      <c r="E14" s="3">
        <f>IF($A14="","",$A14&amp;"."&amp;$B14&amp;"."&amp;$C14&amp;"."&amp;$D14)</f>
      </c>
      <c r="I14" s="3">
        <f>IFERROR(VLOOKUP($A14,系統碼表!$A:$C,3,FALSE),"")</f>
      </c>
      <c r="J14" s="3">
        <f>IFERROR(VLOOKUP($A14,系統碼表!$A:$C,2,FALSE),"")</f>
      </c>
    </row>
    <row r="15" spans="1:19" x14ac:dyDescent="0.25">
      <c r="E15" s="3">
        <f>IF($A15="","",$A15&amp;"."&amp;$B15&amp;"."&amp;$C15&amp;"."&amp;$D15)</f>
      </c>
      <c r="I15" s="3">
        <f>IFERROR(VLOOKUP($A15,系統碼表!$A:$C,3,FALSE),"")</f>
      </c>
      <c r="J15" s="3">
        <f>IFERROR(VLOOKUP($A15,系統碼表!$A:$C,2,FALSE),"")</f>
      </c>
    </row>
    <row r="16" spans="1:19" x14ac:dyDescent="0.25">
      <c r="E16" s="3">
        <f>IF($A16="","",$A16&amp;"."&amp;$B16&amp;"."&amp;$C16&amp;"."&amp;$D16)</f>
      </c>
      <c r="I16" s="3">
        <f>IFERROR(VLOOKUP($A16,系統碼表!$A:$C,3,FALSE),"")</f>
      </c>
      <c r="J16" s="3">
        <f>IFERROR(VLOOKUP($A16,系統碼表!$A:$C,2,FALSE),"")</f>
      </c>
    </row>
    <row r="17" spans="1:19" x14ac:dyDescent="0.25">
      <c r="E17" s="3">
        <f>IF($A17="","",$A17&amp;"."&amp;$B17&amp;"."&amp;$C17&amp;"."&amp;$D17)</f>
      </c>
      <c r="I17" s="3">
        <f>IFERROR(VLOOKUP($A17,系統碼表!$A:$C,3,FALSE),"")</f>
      </c>
      <c r="J17" s="3">
        <f>IFERROR(VLOOKUP($A17,系統碼表!$A:$C,2,FALSE),"")</f>
      </c>
    </row>
    <row r="18" spans="1:19" x14ac:dyDescent="0.25">
      <c r="E18" s="3">
        <f>IF($A18="","",$A18&amp;"."&amp;$B18&amp;"."&amp;$C18&amp;"."&amp;$D18)</f>
      </c>
      <c r="I18" s="3">
        <f>IFERROR(VLOOKUP($A18,系統碼表!$A:$C,3,FALSE),"")</f>
      </c>
      <c r="J18" s="3">
        <f>IFERROR(VLOOKUP($A18,系統碼表!$A:$C,2,FALSE),"")</f>
      </c>
    </row>
    <row r="19" spans="1:19" x14ac:dyDescent="0.25">
      <c r="E19" s="3">
        <f>IF($A19="","",$A19&amp;"."&amp;$B19&amp;"."&amp;$C19&amp;"."&amp;$D19)</f>
      </c>
      <c r="I19" s="3">
        <f>IFERROR(VLOOKUP($A19,系統碼表!$A:$C,3,FALSE),"")</f>
      </c>
      <c r="J19" s="3">
        <f>IFERROR(VLOOKUP($A19,系統碼表!$A:$C,2,FALSE),"")</f>
      </c>
    </row>
    <row r="20" spans="1:19" x14ac:dyDescent="0.25">
      <c r="E20" s="3">
        <f>IF($A20="","",$A20&amp;"."&amp;$B20&amp;"."&amp;$C20&amp;"."&amp;$D20)</f>
      </c>
      <c r="I20" s="3">
        <f>IFERROR(VLOOKUP($A20,系統碼表!$A:$C,3,FALSE),"")</f>
      </c>
      <c r="J20" s="3">
        <f>IFERROR(VLOOKUP($A20,系統碼表!$A:$C,2,FALSE),"")</f>
      </c>
    </row>
    <row r="21" spans="1:19" x14ac:dyDescent="0.25">
      <c r="E21" s="3">
        <f>IF($A21="","",$A21&amp;"."&amp;$B21&amp;"."&amp;$C21&amp;"."&amp;$D21)</f>
      </c>
      <c r="I21" s="3">
        <f>IFERROR(VLOOKUP($A21,系統碼表!$A:$C,3,FALSE),"")</f>
      </c>
      <c r="J21" s="3">
        <f>IFERROR(VLOOKUP($A21,系統碼表!$A:$C,2,FALSE),"")</f>
      </c>
    </row>
    <row r="22" spans="1:19" x14ac:dyDescent="0.25">
      <c r="E22" s="3">
        <f>IF($A22="","",$A22&amp;"."&amp;$B22&amp;"."&amp;$C22&amp;"."&amp;$D22)</f>
      </c>
      <c r="I22" s="3">
        <f>IFERROR(VLOOKUP($A22,系統碼表!$A:$C,3,FALSE),"")</f>
      </c>
      <c r="J22" s="3">
        <f>IFERROR(VLOOKUP($A22,系統碼表!$A:$C,2,FALSE),"")</f>
      </c>
    </row>
    <row r="23" spans="1:19" x14ac:dyDescent="0.25">
      <c r="E23" s="3">
        <f>IF($A23="","",$A23&amp;"."&amp;$B23&amp;"."&amp;$C23&amp;"."&amp;$D23)</f>
      </c>
      <c r="I23" s="3">
        <f>IFERROR(VLOOKUP($A23,系統碼表!$A:$C,3,FALSE),"")</f>
      </c>
      <c r="J23" s="3">
        <f>IFERROR(VLOOKUP($A23,系統碼表!$A:$C,2,FALSE),"")</f>
      </c>
    </row>
    <row r="24" spans="1:19" x14ac:dyDescent="0.25">
      <c r="E24" s="3">
        <f>IF($A24="","",$A24&amp;"."&amp;$B24&amp;"."&amp;$C24&amp;"."&amp;$D24)</f>
      </c>
      <c r="I24" s="3">
        <f>IFERROR(VLOOKUP($A24,系統碼表!$A:$C,3,FALSE),"")</f>
      </c>
      <c r="J24" s="3">
        <f>IFERROR(VLOOKUP($A24,系統碼表!$A:$C,2,FALSE),"")</f>
      </c>
    </row>
    <row r="25" spans="1:19" x14ac:dyDescent="0.25">
      <c r="E25" s="3">
        <f>IF($A25="","",$A25&amp;"."&amp;$B25&amp;"."&amp;$C25&amp;"."&amp;$D25)</f>
      </c>
      <c r="I25" s="3">
        <f>IFERROR(VLOOKUP($A25,系統碼表!$A:$C,3,FALSE),"")</f>
      </c>
      <c r="J25" s="3">
        <f>IFERROR(VLOOKUP($A25,系統碼表!$A:$C,2,FALSE),"")</f>
      </c>
    </row>
    <row r="26" spans="1:19" x14ac:dyDescent="0.25">
      <c r="E26" s="3">
        <f>IF($A26="","",$A26&amp;"."&amp;$B26&amp;"."&amp;$C26&amp;"."&amp;$D26)</f>
      </c>
      <c r="I26" s="3">
        <f>IFERROR(VLOOKUP($A26,系統碼表!$A:$C,3,FALSE),"")</f>
      </c>
      <c r="J26" s="3">
        <f>IFERROR(VLOOKUP($A26,系統碼表!$A:$C,2,FALSE),"")</f>
      </c>
    </row>
    <row r="27" spans="1:19" x14ac:dyDescent="0.25">
      <c r="E27" s="3">
        <f>IF($A27="","",$A27&amp;"."&amp;$B27&amp;"."&amp;$C27&amp;"."&amp;$D27)</f>
      </c>
      <c r="I27" s="3">
        <f>IFERROR(VLOOKUP($A27,系統碼表!$A:$C,3,FALSE),"")</f>
      </c>
      <c r="J27" s="3">
        <f>IFERROR(VLOOKUP($A27,系統碼表!$A:$C,2,FALSE),"")</f>
      </c>
    </row>
    <row r="28" spans="1:19" x14ac:dyDescent="0.25">
      <c r="E28" s="3">
        <f>IF($A28="","",$A28&amp;"."&amp;$B28&amp;"."&amp;$C28&amp;"."&amp;$D28)</f>
      </c>
      <c r="I28" s="3">
        <f>IFERROR(VLOOKUP($A28,系統碼表!$A:$C,3,FALSE),"")</f>
      </c>
      <c r="J28" s="3">
        <f>IFERROR(VLOOKUP($A28,系統碼表!$A:$C,2,FALSE),"")</f>
      </c>
    </row>
    <row r="29" spans="1:19" x14ac:dyDescent="0.25">
      <c r="E29" s="3">
        <f>IF($A29="","",$A29&amp;"."&amp;$B29&amp;"."&amp;$C29&amp;"."&amp;$D29)</f>
      </c>
      <c r="I29" s="3">
        <f>IFERROR(VLOOKUP($A29,系統碼表!$A:$C,3,FALSE),"")</f>
      </c>
      <c r="J29" s="3">
        <f>IFERROR(VLOOKUP($A29,系統碼表!$A:$C,2,FALSE),"")</f>
      </c>
    </row>
    <row r="30" spans="1:19" x14ac:dyDescent="0.25">
      <c r="E30" s="3">
        <f>IF($A30="","",$A30&amp;"."&amp;$B30&amp;"."&amp;$C30&amp;"."&amp;$D30)</f>
      </c>
      <c r="I30" s="3">
        <f>IFERROR(VLOOKUP($A30,系統碼表!$A:$C,3,FALSE),"")</f>
      </c>
      <c r="J30" s="3">
        <f>IFERROR(VLOOKUP($A30,系統碼表!$A:$C,2,FALSE),"")</f>
      </c>
    </row>
    <row r="31" spans="1:19" x14ac:dyDescent="0.25">
      <c r="E31" s="3">
        <f>IF($A31="","",$A31&amp;"."&amp;$B31&amp;"."&amp;$C31&amp;"."&amp;$D31)</f>
      </c>
      <c r="I31" s="3">
        <f>IFERROR(VLOOKUP($A31,系統碼表!$A:$C,3,FALSE),"")</f>
      </c>
      <c r="J31" s="3">
        <f>IFERROR(VLOOKUP($A31,系統碼表!$A:$C,2,FALSE),"")</f>
      </c>
    </row>
    <row r="32" spans="1:19" x14ac:dyDescent="0.25">
      <c r="E32" s="3">
        <f>IF($A32="","",$A32&amp;"."&amp;$B32&amp;"."&amp;$C32&amp;"."&amp;$D32)</f>
      </c>
      <c r="I32" s="3">
        <f>IFERROR(VLOOKUP($A32,系統碼表!$A:$C,3,FALSE),"")</f>
      </c>
      <c r="J32" s="3">
        <f>IFERROR(VLOOKUP($A32,系統碼表!$A:$C,2,FALSE),"")</f>
      </c>
    </row>
    <row r="33" spans="1:19" x14ac:dyDescent="0.25">
      <c r="E33" s="3">
        <f>IF($A33="","",$A33&amp;"."&amp;$B33&amp;"."&amp;$C33&amp;"."&amp;$D33)</f>
      </c>
      <c r="I33" s="3">
        <f>IFERROR(VLOOKUP($A33,系統碼表!$A:$C,3,FALSE),"")</f>
      </c>
      <c r="J33" s="3">
        <f>IFERROR(VLOOKUP($A33,系統碼表!$A:$C,2,FALSE),"")</f>
      </c>
    </row>
    <row r="34" spans="1:19" x14ac:dyDescent="0.25">
      <c r="E34" s="3">
        <f>IF($A34="","",$A34&amp;"."&amp;$B34&amp;"."&amp;$C34&amp;"."&amp;$D34)</f>
      </c>
      <c r="I34" s="3">
        <f>IFERROR(VLOOKUP($A34,系統碼表!$A:$C,3,FALSE),"")</f>
      </c>
      <c r="J34" s="3">
        <f>IFERROR(VLOOKUP($A34,系統碼表!$A:$C,2,FALSE),"")</f>
      </c>
    </row>
    <row r="35" spans="1:19" x14ac:dyDescent="0.25">
      <c r="E35" s="3">
        <f>IF($A35="","",$A35&amp;"."&amp;$B35&amp;"."&amp;$C35&amp;"."&amp;$D35)</f>
      </c>
      <c r="I35" s="3">
        <f>IFERROR(VLOOKUP($A35,系統碼表!$A:$C,3,FALSE),"")</f>
      </c>
      <c r="J35" s="3">
        <f>IFERROR(VLOOKUP($A35,系統碼表!$A:$C,2,FALSE),"")</f>
      </c>
    </row>
    <row r="36" spans="1:19" x14ac:dyDescent="0.25">
      <c r="E36" s="3">
        <f>IF($A36="","",$A36&amp;"."&amp;$B36&amp;"."&amp;$C36&amp;"."&amp;$D36)</f>
      </c>
      <c r="I36" s="3">
        <f>IFERROR(VLOOKUP($A36,系統碼表!$A:$C,3,FALSE),"")</f>
      </c>
      <c r="J36" s="3">
        <f>IFERROR(VLOOKUP($A36,系統碼表!$A:$C,2,FALSE),"")</f>
      </c>
    </row>
    <row r="37" spans="1:19" x14ac:dyDescent="0.25">
      <c r="E37" s="3">
        <f>IF($A37="","",$A37&amp;"."&amp;$B37&amp;"."&amp;$C37&amp;"."&amp;$D37)</f>
      </c>
      <c r="I37" s="3">
        <f>IFERROR(VLOOKUP($A37,系統碼表!$A:$C,3,FALSE),"")</f>
      </c>
      <c r="J37" s="3">
        <f>IFERROR(VLOOKUP($A37,系統碼表!$A:$C,2,FALSE),"")</f>
      </c>
    </row>
    <row r="38" spans="1:19" x14ac:dyDescent="0.25">
      <c r="E38" s="3">
        <f>IF($A38="","",$A38&amp;"."&amp;$B38&amp;"."&amp;$C38&amp;"."&amp;$D38)</f>
      </c>
      <c r="I38" s="3">
        <f>IFERROR(VLOOKUP($A38,系統碼表!$A:$C,3,FALSE),"")</f>
      </c>
      <c r="J38" s="3">
        <f>IFERROR(VLOOKUP($A38,系統碼表!$A:$C,2,FALSE),"")</f>
      </c>
    </row>
    <row r="39" spans="1:19" x14ac:dyDescent="0.25">
      <c r="E39" s="3">
        <f>IF($A39="","",$A39&amp;"."&amp;$B39&amp;"."&amp;$C39&amp;"."&amp;$D39)</f>
      </c>
      <c r="I39" s="3">
        <f>IFERROR(VLOOKUP($A39,系統碼表!$A:$C,3,FALSE),"")</f>
      </c>
      <c r="J39" s="3">
        <f>IFERROR(VLOOKUP($A39,系統碼表!$A:$C,2,FALSE),"")</f>
      </c>
    </row>
    <row r="40" spans="1:19" x14ac:dyDescent="0.25">
      <c r="E40" s="3">
        <f>IF($A40="","",$A40&amp;"."&amp;$B40&amp;"."&amp;$C40&amp;"."&amp;$D40)</f>
      </c>
      <c r="I40" s="3">
        <f>IFERROR(VLOOKUP($A40,系統碼表!$A:$C,3,FALSE),"")</f>
      </c>
      <c r="J40" s="3">
        <f>IFERROR(VLOOKUP($A40,系統碼表!$A:$C,2,FALSE),"")</f>
      </c>
    </row>
    <row r="41" spans="1:19" x14ac:dyDescent="0.25">
      <c r="E41" s="3">
        <f>IF($A41="","",$A41&amp;"."&amp;$B41&amp;"."&amp;$C41&amp;"."&amp;$D41)</f>
      </c>
      <c r="I41" s="3">
        <f>IFERROR(VLOOKUP($A41,系統碼表!$A:$C,3,FALSE),"")</f>
      </c>
      <c r="J41" s="3">
        <f>IFERROR(VLOOKUP($A41,系統碼表!$A:$C,2,FALSE),"")</f>
      </c>
    </row>
    <row r="42" spans="1:19" x14ac:dyDescent="0.25">
      <c r="E42" s="3">
        <f>IF($A42="","",$A42&amp;"."&amp;$B42&amp;"."&amp;$C42&amp;"."&amp;$D42)</f>
      </c>
      <c r="I42" s="3">
        <f>IFERROR(VLOOKUP($A42,系統碼表!$A:$C,3,FALSE),"")</f>
      </c>
      <c r="J42" s="3">
        <f>IFERROR(VLOOKUP($A42,系統碼表!$A:$C,2,FALSE),"")</f>
      </c>
    </row>
    <row r="43" spans="1:19" x14ac:dyDescent="0.25">
      <c r="E43" s="3">
        <f>IF($A43="","",$A43&amp;"."&amp;$B43&amp;"."&amp;$C43&amp;"."&amp;$D43)</f>
      </c>
      <c r="I43" s="3">
        <f>IFERROR(VLOOKUP($A43,系統碼表!$A:$C,3,FALSE),"")</f>
      </c>
      <c r="J43" s="3">
        <f>IFERROR(VLOOKUP($A43,系統碼表!$A:$C,2,FALSE),"")</f>
      </c>
    </row>
    <row r="44" spans="1:19" x14ac:dyDescent="0.25">
      <c r="E44" s="3">
        <f>IF($A44="","",$A44&amp;"."&amp;$B44&amp;"."&amp;$C44&amp;"."&amp;$D44)</f>
      </c>
      <c r="I44" s="3">
        <f>IFERROR(VLOOKUP($A44,系統碼表!$A:$C,3,FALSE),"")</f>
      </c>
      <c r="J44" s="3">
        <f>IFERROR(VLOOKUP($A44,系統碼表!$A:$C,2,FALSE),"")</f>
      </c>
    </row>
    <row r="45" spans="1:19" x14ac:dyDescent="0.25">
      <c r="E45" s="3">
        <f>IF($A45="","",$A45&amp;"."&amp;$B45&amp;"."&amp;$C45&amp;"."&amp;$D45)</f>
      </c>
      <c r="I45" s="3">
        <f>IFERROR(VLOOKUP($A45,系統碼表!$A:$C,3,FALSE),"")</f>
      </c>
      <c r="J45" s="3">
        <f>IFERROR(VLOOKUP($A45,系統碼表!$A:$C,2,FALSE),"")</f>
      </c>
    </row>
    <row r="46" spans="1:19" x14ac:dyDescent="0.25">
      <c r="E46" s="3">
        <f>IF($A46="","",$A46&amp;"."&amp;$B46&amp;"."&amp;$C46&amp;"."&amp;$D46)</f>
      </c>
      <c r="I46" s="3">
        <f>IFERROR(VLOOKUP($A46,系統碼表!$A:$C,3,FALSE),"")</f>
      </c>
      <c r="J46" s="3">
        <f>IFERROR(VLOOKUP($A46,系統碼表!$A:$C,2,FALSE),"")</f>
      </c>
    </row>
    <row r="47" spans="1:19" x14ac:dyDescent="0.25">
      <c r="E47" s="3">
        <f>IF($A47="","",$A47&amp;"."&amp;$B47&amp;"."&amp;$C47&amp;"."&amp;$D47)</f>
      </c>
      <c r="I47" s="3">
        <f>IFERROR(VLOOKUP($A47,系統碼表!$A:$C,3,FALSE),"")</f>
      </c>
      <c r="J47" s="3">
        <f>IFERROR(VLOOKUP($A47,系統碼表!$A:$C,2,FALSE),"")</f>
      </c>
    </row>
    <row r="48" spans="1:19" x14ac:dyDescent="0.25">
      <c r="E48" s="3">
        <f>IF($A48="","",$A48&amp;"."&amp;$B48&amp;"."&amp;$C48&amp;"."&amp;$D48)</f>
      </c>
      <c r="I48" s="3">
        <f>IFERROR(VLOOKUP($A48,系統碼表!$A:$C,3,FALSE),"")</f>
      </c>
      <c r="J48" s="3">
        <f>IFERROR(VLOOKUP($A48,系統碼表!$A:$C,2,FALSE),"")</f>
      </c>
    </row>
    <row r="49" spans="1:19" x14ac:dyDescent="0.25">
      <c r="E49" s="3">
        <f>IF($A49="","",$A49&amp;"."&amp;$B49&amp;"."&amp;$C49&amp;"."&amp;$D49)</f>
      </c>
      <c r="I49" s="3">
        <f>IFERROR(VLOOKUP($A49,系統碼表!$A:$C,3,FALSE),"")</f>
      </c>
      <c r="J49" s="3">
        <f>IFERROR(VLOOKUP($A49,系統碼表!$A:$C,2,FALSE),"")</f>
      </c>
    </row>
    <row r="50" spans="1:19" x14ac:dyDescent="0.25">
      <c r="E50" s="3">
        <f>IF($A50="","",$A50&amp;"."&amp;$B50&amp;"."&amp;$C50&amp;"."&amp;$D50)</f>
      </c>
      <c r="I50" s="3">
        <f>IFERROR(VLOOKUP($A50,系統碼表!$A:$C,3,FALSE),"")</f>
      </c>
      <c r="J50" s="3">
        <f>IFERROR(VLOOKUP($A50,系統碼表!$A:$C,2,FALSE),"")</f>
      </c>
    </row>
    <row r="51" spans="1:19" x14ac:dyDescent="0.25">
      <c r="E51" s="3">
        <f>IF($A51="","",$A51&amp;"."&amp;$B51&amp;"."&amp;$C51&amp;"."&amp;$D51)</f>
      </c>
      <c r="I51" s="3">
        <f>IFERROR(VLOOKUP($A51,系統碼表!$A:$C,3,FALSE),"")</f>
      </c>
      <c r="J51" s="3">
        <f>IFERROR(VLOOKUP($A51,系統碼表!$A:$C,2,FALSE),"")</f>
      </c>
    </row>
    <row r="52" spans="1:19" x14ac:dyDescent="0.25">
      <c r="E52" s="3">
        <f>IF($A52="","",$A52&amp;"."&amp;$B52&amp;"."&amp;$C52&amp;"."&amp;$D52)</f>
      </c>
      <c r="I52" s="3">
        <f>IFERROR(VLOOKUP($A52,系統碼表!$A:$C,3,FALSE),"")</f>
      </c>
      <c r="J52" s="3">
        <f>IFERROR(VLOOKUP($A52,系統碼表!$A:$C,2,FALSE),"")</f>
      </c>
    </row>
    <row r="53" spans="1:19" x14ac:dyDescent="0.25">
      <c r="E53" s="3">
        <f>IF($A53="","",$A53&amp;"."&amp;$B53&amp;"."&amp;$C53&amp;"."&amp;$D53)</f>
      </c>
      <c r="I53" s="3">
        <f>IFERROR(VLOOKUP($A53,系統碼表!$A:$C,3,FALSE),"")</f>
      </c>
      <c r="J53" s="3">
        <f>IFERROR(VLOOKUP($A53,系統碼表!$A:$C,2,FALSE),"")</f>
      </c>
    </row>
    <row r="54" spans="1:19" x14ac:dyDescent="0.25">
      <c r="E54" s="3">
        <f>IF($A54="","",$A54&amp;"."&amp;$B54&amp;"."&amp;$C54&amp;"."&amp;$D54)</f>
      </c>
      <c r="I54" s="3">
        <f>IFERROR(VLOOKUP($A54,系統碼表!$A:$C,3,FALSE),"")</f>
      </c>
      <c r="J54" s="3">
        <f>IFERROR(VLOOKUP($A54,系統碼表!$A:$C,2,FALSE),"")</f>
      </c>
    </row>
    <row r="55" spans="1:19" x14ac:dyDescent="0.25">
      <c r="E55" s="3">
        <f>IF($A55="","",$A55&amp;"."&amp;$B55&amp;"."&amp;$C55&amp;"."&amp;$D55)</f>
      </c>
      <c r="I55" s="3">
        <f>IFERROR(VLOOKUP($A55,系統碼表!$A:$C,3,FALSE),"")</f>
      </c>
      <c r="J55" s="3">
        <f>IFERROR(VLOOKUP($A55,系統碼表!$A:$C,2,FALSE),"")</f>
      </c>
    </row>
    <row r="56" spans="1:19" x14ac:dyDescent="0.25">
      <c r="E56" s="3">
        <f>IF($A56="","",$A56&amp;"."&amp;$B56&amp;"."&amp;$C56&amp;"."&amp;$D56)</f>
      </c>
      <c r="I56" s="3">
        <f>IFERROR(VLOOKUP($A56,系統碼表!$A:$C,3,FALSE),"")</f>
      </c>
      <c r="J56" s="3">
        <f>IFERROR(VLOOKUP($A56,系統碼表!$A:$C,2,FALSE),"")</f>
      </c>
    </row>
    <row r="57" spans="1:19" x14ac:dyDescent="0.25">
      <c r="E57" s="3">
        <f>IF($A57="","",$A57&amp;"."&amp;$B57&amp;"."&amp;$C57&amp;"."&amp;$D57)</f>
      </c>
      <c r="I57" s="3">
        <f>IFERROR(VLOOKUP($A57,系統碼表!$A:$C,3,FALSE),"")</f>
      </c>
      <c r="J57" s="3">
        <f>IFERROR(VLOOKUP($A57,系統碼表!$A:$C,2,FALSE),"")</f>
      </c>
    </row>
    <row r="58" spans="1:19" x14ac:dyDescent="0.25">
      <c r="E58" s="3">
        <f>IF($A58="","",$A58&amp;"."&amp;$B58&amp;"."&amp;$C58&amp;"."&amp;$D58)</f>
      </c>
      <c r="I58" s="3">
        <f>IFERROR(VLOOKUP($A58,系統碼表!$A:$C,3,FALSE),"")</f>
      </c>
      <c r="J58" s="3">
        <f>IFERROR(VLOOKUP($A58,系統碼表!$A:$C,2,FALSE),"")</f>
      </c>
    </row>
    <row r="59" spans="1:19" x14ac:dyDescent="0.25">
      <c r="E59" s="3">
        <f>IF($A59="","",$A59&amp;"."&amp;$B59&amp;"."&amp;$C59&amp;"."&amp;$D59)</f>
      </c>
      <c r="I59" s="3">
        <f>IFERROR(VLOOKUP($A59,系統碼表!$A:$C,3,FALSE),"")</f>
      </c>
      <c r="J59" s="3">
        <f>IFERROR(VLOOKUP($A59,系統碼表!$A:$C,2,FALSE),"")</f>
      </c>
    </row>
    <row r="60" spans="1:19" x14ac:dyDescent="0.25">
      <c r="E60" s="3">
        <f>IF($A60="","",$A60&amp;"."&amp;$B60&amp;"."&amp;$C60&amp;"."&amp;$D60)</f>
      </c>
      <c r="I60" s="3">
        <f>IFERROR(VLOOKUP($A60,系統碼表!$A:$C,3,FALSE),"")</f>
      </c>
      <c r="J60" s="3">
        <f>IFERROR(VLOOKUP($A60,系統碼表!$A:$C,2,FALSE),"")</f>
      </c>
    </row>
    <row r="61" spans="1:19" x14ac:dyDescent="0.25">
      <c r="E61" s="3">
        <f>IF($A61="","",$A61&amp;"."&amp;$B61&amp;"."&amp;$C61&amp;"."&amp;$D61)</f>
      </c>
      <c r="I61" s="3">
        <f>IFERROR(VLOOKUP($A61,系統碼表!$A:$C,3,FALSE),"")</f>
      </c>
      <c r="J61" s="3">
        <f>IFERROR(VLOOKUP($A61,系統碼表!$A:$C,2,FALSE),"")</f>
      </c>
    </row>
    <row r="62" spans="1:19" x14ac:dyDescent="0.25">
      <c r="E62" s="3">
        <f>IF($A62="","",$A62&amp;"."&amp;$B62&amp;"."&amp;$C62&amp;"."&amp;$D62)</f>
      </c>
      <c r="I62" s="3">
        <f>IFERROR(VLOOKUP($A62,系統碼表!$A:$C,3,FALSE),"")</f>
      </c>
      <c r="J62" s="3">
        <f>IFERROR(VLOOKUP($A62,系統碼表!$A:$C,2,FALSE),"")</f>
      </c>
    </row>
    <row r="63" spans="1:19" x14ac:dyDescent="0.25">
      <c r="E63" s="3">
        <f>IF($A63="","",$A63&amp;"."&amp;$B63&amp;"."&amp;$C63&amp;"."&amp;$D63)</f>
      </c>
      <c r="I63" s="3">
        <f>IFERROR(VLOOKUP($A63,系統碼表!$A:$C,3,FALSE),"")</f>
      </c>
      <c r="J63" s="3">
        <f>IFERROR(VLOOKUP($A63,系統碼表!$A:$C,2,FALSE),"")</f>
      </c>
    </row>
    <row r="64" spans="1:19" x14ac:dyDescent="0.25">
      <c r="E64" s="3">
        <f>IF($A64="","",$A64&amp;"."&amp;$B64&amp;"."&amp;$C64&amp;"."&amp;$D64)</f>
      </c>
      <c r="I64" s="3">
        <f>IFERROR(VLOOKUP($A64,系統碼表!$A:$C,3,FALSE),"")</f>
      </c>
      <c r="J64" s="3">
        <f>IFERROR(VLOOKUP($A64,系統碼表!$A:$C,2,FALSE),"")</f>
      </c>
    </row>
    <row r="65" spans="1:19" x14ac:dyDescent="0.25">
      <c r="E65" s="3">
        <f>IF($A65="","",$A65&amp;"."&amp;$B65&amp;"."&amp;$C65&amp;"."&amp;$D65)</f>
      </c>
      <c r="I65" s="3">
        <f>IFERROR(VLOOKUP($A65,系統碼表!$A:$C,3,FALSE),"")</f>
      </c>
      <c r="J65" s="3">
        <f>IFERROR(VLOOKUP($A65,系統碼表!$A:$C,2,FALSE),"")</f>
      </c>
    </row>
    <row r="66" spans="1:19" x14ac:dyDescent="0.25">
      <c r="E66" s="3">
        <f>IF($A66="","",$A66&amp;"."&amp;$B66&amp;"."&amp;$C66&amp;"."&amp;$D66)</f>
      </c>
      <c r="I66" s="3">
        <f>IFERROR(VLOOKUP($A66,系統碼表!$A:$C,3,FALSE),"")</f>
      </c>
      <c r="J66" s="3">
        <f>IFERROR(VLOOKUP($A66,系統碼表!$A:$C,2,FALSE),"")</f>
      </c>
    </row>
    <row r="67" spans="1:19" x14ac:dyDescent="0.25">
      <c r="E67" s="3">
        <f>IF($A67="","",$A67&amp;"."&amp;$B67&amp;"."&amp;$C67&amp;"."&amp;$D67)</f>
      </c>
      <c r="I67" s="3">
        <f>IFERROR(VLOOKUP($A67,系統碼表!$A:$C,3,FALSE),"")</f>
      </c>
      <c r="J67" s="3">
        <f>IFERROR(VLOOKUP($A67,系統碼表!$A:$C,2,FALSE),"")</f>
      </c>
    </row>
    <row r="68" spans="1:19" x14ac:dyDescent="0.25">
      <c r="E68" s="3">
        <f>IF($A68="","",$A68&amp;"."&amp;$B68&amp;"."&amp;$C68&amp;"."&amp;$D68)</f>
      </c>
      <c r="I68" s="3">
        <f>IFERROR(VLOOKUP($A68,系統碼表!$A:$C,3,FALSE),"")</f>
      </c>
      <c r="J68" s="3">
        <f>IFERROR(VLOOKUP($A68,系統碼表!$A:$C,2,FALSE),"")</f>
      </c>
    </row>
    <row r="69" spans="1:19" x14ac:dyDescent="0.25">
      <c r="E69" s="3">
        <f>IF($A69="","",$A69&amp;"."&amp;$B69&amp;"."&amp;$C69&amp;"."&amp;$D69)</f>
      </c>
      <c r="I69" s="3">
        <f>IFERROR(VLOOKUP($A69,系統碼表!$A:$C,3,FALSE),"")</f>
      </c>
      <c r="J69" s="3">
        <f>IFERROR(VLOOKUP($A69,系統碼表!$A:$C,2,FALSE),"")</f>
      </c>
    </row>
    <row r="70" spans="1:19" x14ac:dyDescent="0.25">
      <c r="E70" s="3">
        <f>IF($A70="","",$A70&amp;"."&amp;$B70&amp;"."&amp;$C70&amp;"."&amp;$D70)</f>
      </c>
      <c r="I70" s="3">
        <f>IFERROR(VLOOKUP($A70,系統碼表!$A:$C,3,FALSE),"")</f>
      </c>
      <c r="J70" s="3">
        <f>IFERROR(VLOOKUP($A70,系統碼表!$A:$C,2,FALSE),"")</f>
      </c>
    </row>
    <row r="71" spans="1:19" x14ac:dyDescent="0.25">
      <c r="E71" s="3">
        <f>IF($A71="","",$A71&amp;"."&amp;$B71&amp;"."&amp;$C71&amp;"."&amp;$D71)</f>
      </c>
      <c r="I71" s="3">
        <f>IFERROR(VLOOKUP($A71,系統碼表!$A:$C,3,FALSE),"")</f>
      </c>
      <c r="J71" s="3">
        <f>IFERROR(VLOOKUP($A71,系統碼表!$A:$C,2,FALSE),"")</f>
      </c>
    </row>
    <row r="72" spans="1:19" x14ac:dyDescent="0.25">
      <c r="E72" s="3">
        <f>IF($A72="","",$A72&amp;"."&amp;$B72&amp;"."&amp;$C72&amp;"."&amp;$D72)</f>
      </c>
      <c r="I72" s="3">
        <f>IFERROR(VLOOKUP($A72,系統碼表!$A:$C,3,FALSE),"")</f>
      </c>
      <c r="J72" s="3">
        <f>IFERROR(VLOOKUP($A72,系統碼表!$A:$C,2,FALSE),"")</f>
      </c>
    </row>
    <row r="73" spans="1:19" x14ac:dyDescent="0.25">
      <c r="E73" s="3">
        <f>IF($A73="","",$A73&amp;"."&amp;$B73&amp;"."&amp;$C73&amp;"."&amp;$D73)</f>
      </c>
      <c r="I73" s="3">
        <f>IFERROR(VLOOKUP($A73,系統碼表!$A:$C,3,FALSE),"")</f>
      </c>
      <c r="J73" s="3">
        <f>IFERROR(VLOOKUP($A73,系統碼表!$A:$C,2,FALSE),"")</f>
      </c>
    </row>
    <row r="74" spans="1:19" x14ac:dyDescent="0.25">
      <c r="E74" s="3">
        <f>IF($A74="","",$A74&amp;"."&amp;$B74&amp;"."&amp;$C74&amp;"."&amp;$D74)</f>
      </c>
      <c r="I74" s="3">
        <f>IFERROR(VLOOKUP($A74,系統碼表!$A:$C,3,FALSE),"")</f>
      </c>
      <c r="J74" s="3">
        <f>IFERROR(VLOOKUP($A74,系統碼表!$A:$C,2,FALSE),"")</f>
      </c>
    </row>
    <row r="75" spans="1:19" x14ac:dyDescent="0.25">
      <c r="E75" s="3">
        <f>IF($A75="","",$A75&amp;"."&amp;$B75&amp;"."&amp;$C75&amp;"."&amp;$D75)</f>
      </c>
      <c r="I75" s="3">
        <f>IFERROR(VLOOKUP($A75,系統碼表!$A:$C,3,FALSE),"")</f>
      </c>
      <c r="J75" s="3">
        <f>IFERROR(VLOOKUP($A75,系統碼表!$A:$C,2,FALSE),"")</f>
      </c>
    </row>
    <row r="76" spans="1:19" x14ac:dyDescent="0.25">
      <c r="E76" s="3">
        <f>IF($A76="","",$A76&amp;"."&amp;$B76&amp;"."&amp;$C76&amp;"."&amp;$D76)</f>
      </c>
      <c r="I76" s="3">
        <f>IFERROR(VLOOKUP($A76,系統碼表!$A:$C,3,FALSE),"")</f>
      </c>
      <c r="J76" s="3">
        <f>IFERROR(VLOOKUP($A76,系統碼表!$A:$C,2,FALSE),"")</f>
      </c>
    </row>
    <row r="77" spans="1:19" x14ac:dyDescent="0.25">
      <c r="E77" s="3">
        <f>IF($A77="","",$A77&amp;"."&amp;$B77&amp;"."&amp;$C77&amp;"."&amp;$D77)</f>
      </c>
      <c r="I77" s="3">
        <f>IFERROR(VLOOKUP($A77,系統碼表!$A:$C,3,FALSE),"")</f>
      </c>
      <c r="J77" s="3">
        <f>IFERROR(VLOOKUP($A77,系統碼表!$A:$C,2,FALSE),"")</f>
      </c>
    </row>
    <row r="78" spans="1:19" x14ac:dyDescent="0.25">
      <c r="E78" s="3">
        <f>IF($A78="","",$A78&amp;"."&amp;$B78&amp;"."&amp;$C78&amp;"."&amp;$D78)</f>
      </c>
      <c r="I78" s="3">
        <f>IFERROR(VLOOKUP($A78,系統碼表!$A:$C,3,FALSE),"")</f>
      </c>
      <c r="J78" s="3">
        <f>IFERROR(VLOOKUP($A78,系統碼表!$A:$C,2,FALSE),"")</f>
      </c>
    </row>
    <row r="79" spans="1:19" x14ac:dyDescent="0.25">
      <c r="E79" s="3">
        <f>IF($A79="","",$A79&amp;"."&amp;$B79&amp;"."&amp;$C79&amp;"."&amp;$D79)</f>
      </c>
      <c r="I79" s="3">
        <f>IFERROR(VLOOKUP($A79,系統碼表!$A:$C,3,FALSE),"")</f>
      </c>
      <c r="J79" s="3">
        <f>IFERROR(VLOOKUP($A79,系統碼表!$A:$C,2,FALSE),"")</f>
      </c>
    </row>
    <row r="80" spans="1:19" x14ac:dyDescent="0.25">
      <c r="E80" s="3">
        <f>IF($A80="","",$A80&amp;"."&amp;$B80&amp;"."&amp;$C80&amp;"."&amp;$D80)</f>
      </c>
      <c r="I80" s="3">
        <f>IFERROR(VLOOKUP($A80,系統碼表!$A:$C,3,FALSE),"")</f>
      </c>
      <c r="J80" s="3">
        <f>IFERROR(VLOOKUP($A80,系統碼表!$A:$C,2,FALSE),"")</f>
      </c>
    </row>
    <row r="81" spans="1:19" x14ac:dyDescent="0.25">
      <c r="E81" s="3">
        <f>IF($A81="","",$A81&amp;"."&amp;$B81&amp;"."&amp;$C81&amp;"."&amp;$D81)</f>
      </c>
      <c r="I81" s="3">
        <f>IFERROR(VLOOKUP($A81,系統碼表!$A:$C,3,FALSE),"")</f>
      </c>
      <c r="J81" s="3">
        <f>IFERROR(VLOOKUP($A81,系統碼表!$A:$C,2,FALSE),"")</f>
      </c>
    </row>
    <row r="82" spans="1:19" x14ac:dyDescent="0.25">
      <c r="E82" s="3">
        <f>IF($A82="","",$A82&amp;"."&amp;$B82&amp;"."&amp;$C82&amp;"."&amp;$D82)</f>
      </c>
      <c r="I82" s="3">
        <f>IFERROR(VLOOKUP($A82,系統碼表!$A:$C,3,FALSE),"")</f>
      </c>
      <c r="J82" s="3">
        <f>IFERROR(VLOOKUP($A82,系統碼表!$A:$C,2,FALSE),"")</f>
      </c>
    </row>
    <row r="83" spans="1:19" x14ac:dyDescent="0.25">
      <c r="E83" s="3">
        <f>IF($A83="","",$A83&amp;"."&amp;$B83&amp;"."&amp;$C83&amp;"."&amp;$D83)</f>
      </c>
      <c r="I83" s="3">
        <f>IFERROR(VLOOKUP($A83,系統碼表!$A:$C,3,FALSE),"")</f>
      </c>
      <c r="J83" s="3">
        <f>IFERROR(VLOOKUP($A83,系統碼表!$A:$C,2,FALSE),"")</f>
      </c>
    </row>
    <row r="84" spans="1:19" x14ac:dyDescent="0.25">
      <c r="E84" s="3">
        <f>IF($A84="","",$A84&amp;"."&amp;$B84&amp;"."&amp;$C84&amp;"."&amp;$D84)</f>
      </c>
      <c r="I84" s="3">
        <f>IFERROR(VLOOKUP($A84,系統碼表!$A:$C,3,FALSE),"")</f>
      </c>
      <c r="J84" s="3">
        <f>IFERROR(VLOOKUP($A84,系統碼表!$A:$C,2,FALSE),"")</f>
      </c>
    </row>
    <row r="85" spans="1:19" x14ac:dyDescent="0.25">
      <c r="E85" s="3">
        <f>IF($A85="","",$A85&amp;"."&amp;$B85&amp;"."&amp;$C85&amp;"."&amp;$D85)</f>
      </c>
      <c r="I85" s="3">
        <f>IFERROR(VLOOKUP($A85,系統碼表!$A:$C,3,FALSE),"")</f>
      </c>
      <c r="J85" s="3">
        <f>IFERROR(VLOOKUP($A85,系統碼表!$A:$C,2,FALSE),"")</f>
      </c>
    </row>
    <row r="86" spans="1:19" x14ac:dyDescent="0.25">
      <c r="E86" s="3">
        <f>IF($A86="","",$A86&amp;"."&amp;$B86&amp;"."&amp;$C86&amp;"."&amp;$D86)</f>
      </c>
      <c r="I86" s="3">
        <f>IFERROR(VLOOKUP($A86,系統碼表!$A:$C,3,FALSE),"")</f>
      </c>
      <c r="J86" s="3">
        <f>IFERROR(VLOOKUP($A86,系統碼表!$A:$C,2,FALSE),"")</f>
      </c>
    </row>
    <row r="87" spans="1:19" x14ac:dyDescent="0.25">
      <c r="E87" s="3">
        <f>IF($A87="","",$A87&amp;"."&amp;$B87&amp;"."&amp;$C87&amp;"."&amp;$D87)</f>
      </c>
      <c r="I87" s="3">
        <f>IFERROR(VLOOKUP($A87,系統碼表!$A:$C,3,FALSE),"")</f>
      </c>
      <c r="J87" s="3">
        <f>IFERROR(VLOOKUP($A87,系統碼表!$A:$C,2,FALSE),"")</f>
      </c>
    </row>
    <row r="88" spans="1:19" x14ac:dyDescent="0.25">
      <c r="E88" s="3">
        <f>IF($A88="","",$A88&amp;"."&amp;$B88&amp;"."&amp;$C88&amp;"."&amp;$D88)</f>
      </c>
      <c r="I88" s="3">
        <f>IFERROR(VLOOKUP($A88,系統碼表!$A:$C,3,FALSE),"")</f>
      </c>
      <c r="J88" s="3">
        <f>IFERROR(VLOOKUP($A88,系統碼表!$A:$C,2,FALSE),"")</f>
      </c>
    </row>
    <row r="89" spans="1:19" x14ac:dyDescent="0.25">
      <c r="E89" s="3">
        <f>IF($A89="","",$A89&amp;"."&amp;$B89&amp;"."&amp;$C89&amp;"."&amp;$D89)</f>
      </c>
      <c r="I89" s="3">
        <f>IFERROR(VLOOKUP($A89,系統碼表!$A:$C,3,FALSE),"")</f>
      </c>
      <c r="J89" s="3">
        <f>IFERROR(VLOOKUP($A89,系統碼表!$A:$C,2,FALSE),"")</f>
      </c>
    </row>
    <row r="90" spans="1:19" x14ac:dyDescent="0.25">
      <c r="E90" s="3">
        <f>IF($A90="","",$A90&amp;"."&amp;$B90&amp;"."&amp;$C90&amp;"."&amp;$D90)</f>
      </c>
      <c r="I90" s="3">
        <f>IFERROR(VLOOKUP($A90,系統碼表!$A:$C,3,FALSE),"")</f>
      </c>
      <c r="J90" s="3">
        <f>IFERROR(VLOOKUP($A90,系統碼表!$A:$C,2,FALSE),"")</f>
      </c>
    </row>
    <row r="91" spans="1:19" x14ac:dyDescent="0.25">
      <c r="E91" s="3">
        <f>IF($A91="","",$A91&amp;"."&amp;$B91&amp;"."&amp;$C91&amp;"."&amp;$D91)</f>
      </c>
      <c r="I91" s="3">
        <f>IFERROR(VLOOKUP($A91,系統碼表!$A:$C,3,FALSE),"")</f>
      </c>
      <c r="J91" s="3">
        <f>IFERROR(VLOOKUP($A91,系統碼表!$A:$C,2,FALSE),"")</f>
      </c>
    </row>
    <row r="92" spans="1:19" x14ac:dyDescent="0.25">
      <c r="E92" s="3">
        <f>IF($A92="","",$A92&amp;"."&amp;$B92&amp;"."&amp;$C92&amp;"."&amp;$D92)</f>
      </c>
      <c r="I92" s="3">
        <f>IFERROR(VLOOKUP($A92,系統碼表!$A:$C,3,FALSE),"")</f>
      </c>
      <c r="J92" s="3">
        <f>IFERROR(VLOOKUP($A92,系統碼表!$A:$C,2,FALSE),"")</f>
      </c>
    </row>
    <row r="93" spans="1:19" x14ac:dyDescent="0.25">
      <c r="E93" s="3">
        <f>IF($A93="","",$A93&amp;"."&amp;$B93&amp;"."&amp;$C93&amp;"."&amp;$D93)</f>
      </c>
      <c r="I93" s="3">
        <f>IFERROR(VLOOKUP($A93,系統碼表!$A:$C,3,FALSE),"")</f>
      </c>
      <c r="J93" s="3">
        <f>IFERROR(VLOOKUP($A93,系統碼表!$A:$C,2,FALSE),"")</f>
      </c>
    </row>
    <row r="94" spans="1:19" x14ac:dyDescent="0.25">
      <c r="E94" s="3">
        <f>IF($A94="","",$A94&amp;"."&amp;$B94&amp;"."&amp;$C94&amp;"."&amp;$D94)</f>
      </c>
      <c r="I94" s="3">
        <f>IFERROR(VLOOKUP($A94,系統碼表!$A:$C,3,FALSE),"")</f>
      </c>
      <c r="J94" s="3">
        <f>IFERROR(VLOOKUP($A94,系統碼表!$A:$C,2,FALSE),"")</f>
      </c>
    </row>
    <row r="95" spans="1:19" x14ac:dyDescent="0.25">
      <c r="E95" s="3">
        <f>IF($A95="","",$A95&amp;"."&amp;$B95&amp;"."&amp;$C95&amp;"."&amp;$D95)</f>
      </c>
      <c r="I95" s="3">
        <f>IFERROR(VLOOKUP($A95,系統碼表!$A:$C,3,FALSE),"")</f>
      </c>
      <c r="J95" s="3">
        <f>IFERROR(VLOOKUP($A95,系統碼表!$A:$C,2,FALSE),"")</f>
      </c>
    </row>
    <row r="96" spans="1:19" x14ac:dyDescent="0.25">
      <c r="E96" s="3">
        <f>IF($A96="","",$A96&amp;"."&amp;$B96&amp;"."&amp;$C96&amp;"."&amp;$D96)</f>
      </c>
      <c r="I96" s="3">
        <f>IFERROR(VLOOKUP($A96,系統碼表!$A:$C,3,FALSE),"")</f>
      </c>
      <c r="J96" s="3">
        <f>IFERROR(VLOOKUP($A96,系統碼表!$A:$C,2,FALSE),"")</f>
      </c>
    </row>
    <row r="97" spans="1:19" x14ac:dyDescent="0.25">
      <c r="E97" s="3">
        <f>IF($A97="","",$A97&amp;"."&amp;$B97&amp;"."&amp;$C97&amp;"."&amp;$D97)</f>
      </c>
      <c r="I97" s="3">
        <f>IFERROR(VLOOKUP($A97,系統碼表!$A:$C,3,FALSE),"")</f>
      </c>
      <c r="J97" s="3">
        <f>IFERROR(VLOOKUP($A97,系統碼表!$A:$C,2,FALSE),"")</f>
      </c>
    </row>
    <row r="98" spans="1:19" x14ac:dyDescent="0.25">
      <c r="E98" s="3">
        <f>IF($A98="","",$A98&amp;"."&amp;$B98&amp;"."&amp;$C98&amp;"."&amp;$D98)</f>
      </c>
      <c r="I98" s="3">
        <f>IFERROR(VLOOKUP($A98,系統碼表!$A:$C,3,FALSE),"")</f>
      </c>
      <c r="J98" s="3">
        <f>IFERROR(VLOOKUP($A98,系統碼表!$A:$C,2,FALSE),"")</f>
      </c>
    </row>
    <row r="99" spans="1:19" x14ac:dyDescent="0.25">
      <c r="E99" s="3">
        <f>IF($A99="","",$A99&amp;"."&amp;$B99&amp;"."&amp;$C99&amp;"."&amp;$D99)</f>
      </c>
      <c r="I99" s="3">
        <f>IFERROR(VLOOKUP($A99,系統碼表!$A:$C,3,FALSE),"")</f>
      </c>
      <c r="J99" s="3">
        <f>IFERROR(VLOOKUP($A99,系統碼表!$A:$C,2,FALSE),"")</f>
      </c>
    </row>
    <row r="100" spans="1:19" x14ac:dyDescent="0.25">
      <c r="E100" s="3">
        <f>IF($A100="","",$A100&amp;"."&amp;$B100&amp;"."&amp;$C100&amp;"."&amp;$D100)</f>
      </c>
      <c r="I100" s="3">
        <f>IFERROR(VLOOKUP($A100,系統碼表!$A:$C,3,FALSE),"")</f>
      </c>
      <c r="J100" s="3">
        <f>IFERROR(VLOOKUP($A100,系統碼表!$A:$C,2,FALSE),"")</f>
      </c>
    </row>
    <row r="101" spans="1:19" x14ac:dyDescent="0.25">
      <c r="E101" s="3">
        <f>IF($A101="","",$A101&amp;"."&amp;$B101&amp;"."&amp;$C101&amp;"."&amp;$D101)</f>
      </c>
      <c r="I101" s="3">
        <f>IFERROR(VLOOKUP($A101,系統碼表!$A:$C,3,FALSE),"")</f>
      </c>
      <c r="J101" s="3">
        <f>IFERROR(VLOOKUP($A101,系統碼表!$A:$C,2,FALSE),"")</f>
      </c>
    </row>
    <row r="102" spans="1:19" x14ac:dyDescent="0.25">
      <c r="E102" s="3">
        <f>IF($A102="","",$A102&amp;"."&amp;$B102&amp;"."&amp;$C102&amp;"."&amp;$D102)</f>
      </c>
      <c r="I102" s="3">
        <f>IFERROR(VLOOKUP($A102,系統碼表!$A:$C,3,FALSE),"")</f>
      </c>
      <c r="J102" s="3">
        <f>IFERROR(VLOOKUP($A102,系統碼表!$A:$C,2,FALSE),"")</f>
      </c>
    </row>
    <row r="103" spans="1:19" x14ac:dyDescent="0.25">
      <c r="E103" s="3">
        <f>IF($A103="","",$A103&amp;"."&amp;$B103&amp;"."&amp;$C103&amp;"."&amp;$D103)</f>
      </c>
      <c r="I103" s="3">
        <f>IFERROR(VLOOKUP($A103,系統碼表!$A:$C,3,FALSE),"")</f>
      </c>
      <c r="J103" s="3">
        <f>IFERROR(VLOOKUP($A103,系統碼表!$A:$C,2,FALSE),"")</f>
      </c>
    </row>
    <row r="104" spans="1:19" x14ac:dyDescent="0.25">
      <c r="E104" s="3">
        <f>IF($A104="","",$A104&amp;"."&amp;$B104&amp;"."&amp;$C104&amp;"."&amp;$D104)</f>
      </c>
      <c r="I104" s="3">
        <f>IFERROR(VLOOKUP($A104,系統碼表!$A:$C,3,FALSE),"")</f>
      </c>
      <c r="J104" s="3">
        <f>IFERROR(VLOOKUP($A104,系統碼表!$A:$C,2,FALSE),"")</f>
      </c>
    </row>
    <row r="105" spans="1:19" x14ac:dyDescent="0.25">
      <c r="E105" s="3">
        <f>IF($A105="","",$A105&amp;"."&amp;$B105&amp;"."&amp;$C105&amp;"."&amp;$D105)</f>
      </c>
      <c r="I105" s="3">
        <f>IFERROR(VLOOKUP($A105,系統碼表!$A:$C,3,FALSE),"")</f>
      </c>
      <c r="J105" s="3">
        <f>IFERROR(VLOOKUP($A105,系統碼表!$A:$C,2,FALSE),"")</f>
      </c>
    </row>
    <row r="106" spans="1:19" x14ac:dyDescent="0.25">
      <c r="E106" s="3">
        <f>IF($A106="","",$A106&amp;"."&amp;$B106&amp;"."&amp;$C106&amp;"."&amp;$D106)</f>
      </c>
      <c r="I106" s="3">
        <f>IFERROR(VLOOKUP($A106,系統碼表!$A:$C,3,FALSE),"")</f>
      </c>
      <c r="J106" s="3">
        <f>IFERROR(VLOOKUP($A106,系統碼表!$A:$C,2,FALSE),"")</f>
      </c>
    </row>
    <row r="107" spans="1:19" x14ac:dyDescent="0.25">
      <c r="E107" s="3">
        <f>IF($A107="","",$A107&amp;"."&amp;$B107&amp;"."&amp;$C107&amp;"."&amp;$D107)</f>
      </c>
      <c r="I107" s="3">
        <f>IFERROR(VLOOKUP($A107,系統碼表!$A:$C,3,FALSE),"")</f>
      </c>
      <c r="J107" s="3">
        <f>IFERROR(VLOOKUP($A107,系統碼表!$A:$C,2,FALSE),"")</f>
      </c>
    </row>
    <row r="108" spans="1:19" x14ac:dyDescent="0.25">
      <c r="E108" s="3">
        <f>IF($A108="","",$A108&amp;"."&amp;$B108&amp;"."&amp;$C108&amp;"."&amp;$D108)</f>
      </c>
      <c r="I108" s="3">
        <f>IFERROR(VLOOKUP($A108,系統碼表!$A:$C,3,FALSE),"")</f>
      </c>
      <c r="J108" s="3">
        <f>IFERROR(VLOOKUP($A108,系統碼表!$A:$C,2,FALSE),"")</f>
      </c>
    </row>
    <row r="109" spans="1:19" x14ac:dyDescent="0.25">
      <c r="E109" s="3">
        <f>IF($A109="","",$A109&amp;"."&amp;$B109&amp;"."&amp;$C109&amp;"."&amp;$D109)</f>
      </c>
      <c r="I109" s="3">
        <f>IFERROR(VLOOKUP($A109,系統碼表!$A:$C,3,FALSE),"")</f>
      </c>
      <c r="J109" s="3">
        <f>IFERROR(VLOOKUP($A109,系統碼表!$A:$C,2,FALSE),"")</f>
      </c>
    </row>
    <row r="110" spans="1:19" x14ac:dyDescent="0.25">
      <c r="E110" s="3">
        <f>IF($A110="","",$A110&amp;"."&amp;$B110&amp;"."&amp;$C110&amp;"."&amp;$D110)</f>
      </c>
      <c r="I110" s="3">
        <f>IFERROR(VLOOKUP($A110,系統碼表!$A:$C,3,FALSE),"")</f>
      </c>
      <c r="J110" s="3">
        <f>IFERROR(VLOOKUP($A110,系統碼表!$A:$C,2,FALSE),"")</f>
      </c>
    </row>
    <row r="111" spans="1:19" x14ac:dyDescent="0.25">
      <c r="E111" s="3">
        <f>IF($A111="","",$A111&amp;"."&amp;$B111&amp;"."&amp;$C111&amp;"."&amp;$D111)</f>
      </c>
      <c r="I111" s="3">
        <f>IFERROR(VLOOKUP($A111,系統碼表!$A:$C,3,FALSE),"")</f>
      </c>
      <c r="J111" s="3">
        <f>IFERROR(VLOOKUP($A111,系統碼表!$A:$C,2,FALSE),"")</f>
      </c>
    </row>
    <row r="112" spans="1:19" x14ac:dyDescent="0.25">
      <c r="E112" s="3">
        <f>IF($A112="","",$A112&amp;"."&amp;$B112&amp;"."&amp;$C112&amp;"."&amp;$D112)</f>
      </c>
      <c r="I112" s="3">
        <f>IFERROR(VLOOKUP($A112,系統碼表!$A:$C,3,FALSE),"")</f>
      </c>
      <c r="J112" s="3">
        <f>IFERROR(VLOOKUP($A112,系統碼表!$A:$C,2,FALSE),"")</f>
      </c>
    </row>
    <row r="113" spans="1:19" x14ac:dyDescent="0.25">
      <c r="E113" s="3">
        <f>IF($A113="","",$A113&amp;"."&amp;$B113&amp;"."&amp;$C113&amp;"."&amp;$D113)</f>
      </c>
      <c r="I113" s="3">
        <f>IFERROR(VLOOKUP($A113,系統碼表!$A:$C,3,FALSE),"")</f>
      </c>
      <c r="J113" s="3">
        <f>IFERROR(VLOOKUP($A113,系統碼表!$A:$C,2,FALSE),"")</f>
      </c>
    </row>
    <row r="114" spans="1:19" x14ac:dyDescent="0.25">
      <c r="E114" s="3">
        <f>IF($A114="","",$A114&amp;"."&amp;$B114&amp;"."&amp;$C114&amp;"."&amp;$D114)</f>
      </c>
      <c r="I114" s="3">
        <f>IFERROR(VLOOKUP($A114,系統碼表!$A:$C,3,FALSE),"")</f>
      </c>
      <c r="J114" s="3">
        <f>IFERROR(VLOOKUP($A114,系統碼表!$A:$C,2,FALSE),"")</f>
      </c>
    </row>
    <row r="115" spans="1:19" x14ac:dyDescent="0.25">
      <c r="E115" s="3">
        <f>IF($A115="","",$A115&amp;"."&amp;$B115&amp;"."&amp;$C115&amp;"."&amp;$D115)</f>
      </c>
      <c r="I115" s="3">
        <f>IFERROR(VLOOKUP($A115,系統碼表!$A:$C,3,FALSE),"")</f>
      </c>
      <c r="J115" s="3">
        <f>IFERROR(VLOOKUP($A115,系統碼表!$A:$C,2,FALSE),"")</f>
      </c>
    </row>
    <row r="116" spans="1:19" x14ac:dyDescent="0.25">
      <c r="E116" s="3">
        <f>IF($A116="","",$A116&amp;"."&amp;$B116&amp;"."&amp;$C116&amp;"."&amp;$D116)</f>
      </c>
      <c r="I116" s="3">
        <f>IFERROR(VLOOKUP($A116,系統碼表!$A:$C,3,FALSE),"")</f>
      </c>
      <c r="J116" s="3">
        <f>IFERROR(VLOOKUP($A116,系統碼表!$A:$C,2,FALSE),"")</f>
      </c>
    </row>
    <row r="117" spans="1:19" x14ac:dyDescent="0.25">
      <c r="E117" s="3">
        <f>IF($A117="","",$A117&amp;"."&amp;$B117&amp;"."&amp;$C117&amp;"."&amp;$D117)</f>
      </c>
      <c r="I117" s="3">
        <f>IFERROR(VLOOKUP($A117,系統碼表!$A:$C,3,FALSE),"")</f>
      </c>
      <c r="J117" s="3">
        <f>IFERROR(VLOOKUP($A117,系統碼表!$A:$C,2,FALSE),"")</f>
      </c>
    </row>
    <row r="118" spans="1:19" x14ac:dyDescent="0.25">
      <c r="E118" s="3">
        <f>IF($A118="","",$A118&amp;"."&amp;$B118&amp;"."&amp;$C118&amp;"."&amp;$D118)</f>
      </c>
      <c r="I118" s="3">
        <f>IFERROR(VLOOKUP($A118,系統碼表!$A:$C,3,FALSE),"")</f>
      </c>
      <c r="J118" s="3">
        <f>IFERROR(VLOOKUP($A118,系統碼表!$A:$C,2,FALSE),"")</f>
      </c>
    </row>
    <row r="119" spans="1:19" x14ac:dyDescent="0.25">
      <c r="E119" s="3">
        <f>IF($A119="","",$A119&amp;"."&amp;$B119&amp;"."&amp;$C119&amp;"."&amp;$D119)</f>
      </c>
      <c r="I119" s="3">
        <f>IFERROR(VLOOKUP($A119,系統碼表!$A:$C,3,FALSE),"")</f>
      </c>
      <c r="J119" s="3">
        <f>IFERROR(VLOOKUP($A119,系統碼表!$A:$C,2,FALSE),"")</f>
      </c>
    </row>
    <row r="120" spans="1:19" x14ac:dyDescent="0.25">
      <c r="E120" s="3">
        <f>IF($A120="","",$A120&amp;"."&amp;$B120&amp;"."&amp;$C120&amp;"."&amp;$D120)</f>
      </c>
      <c r="I120" s="3">
        <f>IFERROR(VLOOKUP($A120,系統碼表!$A:$C,3,FALSE),"")</f>
      </c>
      <c r="J120" s="3">
        <f>IFERROR(VLOOKUP($A120,系統碼表!$A:$C,2,FALSE),"")</f>
      </c>
    </row>
    <row r="121" spans="1:19" x14ac:dyDescent="0.25">
      <c r="E121" s="3">
        <f>IF($A121="","",$A121&amp;"."&amp;$B121&amp;"."&amp;$C121&amp;"."&amp;$D121)</f>
      </c>
      <c r="I121" s="3">
        <f>IFERROR(VLOOKUP($A121,系統碼表!$A:$C,3,FALSE),"")</f>
      </c>
      <c r="J121" s="3">
        <f>IFERROR(VLOOKUP($A121,系統碼表!$A:$C,2,FALSE),"")</f>
      </c>
    </row>
    <row r="122" spans="1:19" x14ac:dyDescent="0.25">
      <c r="E122" s="3">
        <f>IF($A122="","",$A122&amp;"."&amp;$B122&amp;"."&amp;$C122&amp;"."&amp;$D122)</f>
      </c>
      <c r="I122" s="3">
        <f>IFERROR(VLOOKUP($A122,系統碼表!$A:$C,3,FALSE),"")</f>
      </c>
      <c r="J122" s="3">
        <f>IFERROR(VLOOKUP($A122,系統碼表!$A:$C,2,FALSE),"")</f>
      </c>
    </row>
    <row r="123" spans="1:19" x14ac:dyDescent="0.25">
      <c r="E123" s="3">
        <f>IF($A123="","",$A123&amp;"."&amp;$B123&amp;"."&amp;$C123&amp;"."&amp;$D123)</f>
      </c>
      <c r="I123" s="3">
        <f>IFERROR(VLOOKUP($A123,系統碼表!$A:$C,3,FALSE),"")</f>
      </c>
      <c r="J123" s="3">
        <f>IFERROR(VLOOKUP($A123,系統碼表!$A:$C,2,FALSE),"")</f>
      </c>
    </row>
    <row r="124" spans="1:19" x14ac:dyDescent="0.25">
      <c r="E124" s="3">
        <f>IF($A124="","",$A124&amp;"."&amp;$B124&amp;"."&amp;$C124&amp;"."&amp;$D124)</f>
      </c>
      <c r="I124" s="3">
        <f>IFERROR(VLOOKUP($A124,系統碼表!$A:$C,3,FALSE),"")</f>
      </c>
      <c r="J124" s="3">
        <f>IFERROR(VLOOKUP($A124,系統碼表!$A:$C,2,FALSE),"")</f>
      </c>
    </row>
    <row r="125" spans="1:19" x14ac:dyDescent="0.25">
      <c r="E125" s="3">
        <f>IF($A125="","",$A125&amp;"."&amp;$B125&amp;"."&amp;$C125&amp;"."&amp;$D125)</f>
      </c>
      <c r="I125" s="3">
        <f>IFERROR(VLOOKUP($A125,系統碼表!$A:$C,3,FALSE),"")</f>
      </c>
      <c r="J125" s="3">
        <f>IFERROR(VLOOKUP($A125,系統碼表!$A:$C,2,FALSE),"")</f>
      </c>
    </row>
    <row r="126" spans="1:19" x14ac:dyDescent="0.25">
      <c r="E126" s="3">
        <f>IF($A126="","",$A126&amp;"."&amp;$B126&amp;"."&amp;$C126&amp;"."&amp;$D126)</f>
      </c>
      <c r="I126" s="3">
        <f>IFERROR(VLOOKUP($A126,系統碼表!$A:$C,3,FALSE),"")</f>
      </c>
      <c r="J126" s="3">
        <f>IFERROR(VLOOKUP($A126,系統碼表!$A:$C,2,FALSE),"")</f>
      </c>
    </row>
    <row r="127" spans="1:19" x14ac:dyDescent="0.25">
      <c r="E127" s="3">
        <f>IF($A127="","",$A127&amp;"."&amp;$B127&amp;"."&amp;$C127&amp;"."&amp;$D127)</f>
      </c>
      <c r="I127" s="3">
        <f>IFERROR(VLOOKUP($A127,系統碼表!$A:$C,3,FALSE),"")</f>
      </c>
      <c r="J127" s="3">
        <f>IFERROR(VLOOKUP($A127,系統碼表!$A:$C,2,FALSE),"")</f>
      </c>
    </row>
    <row r="128" spans="1:19" x14ac:dyDescent="0.25">
      <c r="E128" s="3">
        <f>IF($A128="","",$A128&amp;"."&amp;$B128&amp;"."&amp;$C128&amp;"."&amp;$D128)</f>
      </c>
      <c r="I128" s="3">
        <f>IFERROR(VLOOKUP($A128,系統碼表!$A:$C,3,FALSE),"")</f>
      </c>
      <c r="J128" s="3">
        <f>IFERROR(VLOOKUP($A128,系統碼表!$A:$C,2,FALSE),"")</f>
      </c>
    </row>
    <row r="129" spans="1:19" x14ac:dyDescent="0.25">
      <c r="E129" s="3">
        <f>IF($A129="","",$A129&amp;"."&amp;$B129&amp;"."&amp;$C129&amp;"."&amp;$D129)</f>
      </c>
      <c r="I129" s="3">
        <f>IFERROR(VLOOKUP($A129,系統碼表!$A:$C,3,FALSE),"")</f>
      </c>
      <c r="J129" s="3">
        <f>IFERROR(VLOOKUP($A129,系統碼表!$A:$C,2,FALSE),"")</f>
      </c>
    </row>
    <row r="130" spans="1:19" x14ac:dyDescent="0.25">
      <c r="E130" s="3">
        <f>IF($A130="","",$A130&amp;"."&amp;$B130&amp;"."&amp;$C130&amp;"."&amp;$D130)</f>
      </c>
      <c r="I130" s="3">
        <f>IFERROR(VLOOKUP($A130,系統碼表!$A:$C,3,FALSE),"")</f>
      </c>
      <c r="J130" s="3">
        <f>IFERROR(VLOOKUP($A130,系統碼表!$A:$C,2,FALSE),"")</f>
      </c>
    </row>
    <row r="131" spans="1:19" x14ac:dyDescent="0.25">
      <c r="E131" s="3">
        <f>IF($A131="","",$A131&amp;"."&amp;$B131&amp;"."&amp;$C131&amp;"."&amp;$D131)</f>
      </c>
      <c r="I131" s="3">
        <f>IFERROR(VLOOKUP($A131,系統碼表!$A:$C,3,FALSE),"")</f>
      </c>
      <c r="J131" s="3">
        <f>IFERROR(VLOOKUP($A131,系統碼表!$A:$C,2,FALSE),"")</f>
      </c>
    </row>
    <row r="132" spans="1:19" x14ac:dyDescent="0.25">
      <c r="E132" s="3">
        <f>IF($A132="","",$A132&amp;"."&amp;$B132&amp;"."&amp;$C132&amp;"."&amp;$D132)</f>
      </c>
      <c r="I132" s="3">
        <f>IFERROR(VLOOKUP($A132,系統碼表!$A:$C,3,FALSE),"")</f>
      </c>
      <c r="J132" s="3">
        <f>IFERROR(VLOOKUP($A132,系統碼表!$A:$C,2,FALSE),"")</f>
      </c>
    </row>
    <row r="133" spans="1:19" x14ac:dyDescent="0.25">
      <c r="E133" s="3">
        <f>IF($A133="","",$A133&amp;"."&amp;$B133&amp;"."&amp;$C133&amp;"."&amp;$D133)</f>
      </c>
      <c r="I133" s="3">
        <f>IFERROR(VLOOKUP($A133,系統碼表!$A:$C,3,FALSE),"")</f>
      </c>
      <c r="J133" s="3">
        <f>IFERROR(VLOOKUP($A133,系統碼表!$A:$C,2,FALSE),"")</f>
      </c>
    </row>
    <row r="134" spans="1:19" x14ac:dyDescent="0.25">
      <c r="E134" s="3">
        <f>IF($A134="","",$A134&amp;"."&amp;$B134&amp;"."&amp;$C134&amp;"."&amp;$D134)</f>
      </c>
      <c r="I134" s="3">
        <f>IFERROR(VLOOKUP($A134,系統碼表!$A:$C,3,FALSE),"")</f>
      </c>
      <c r="J134" s="3">
        <f>IFERROR(VLOOKUP($A134,系統碼表!$A:$C,2,FALSE),"")</f>
      </c>
    </row>
    <row r="135" spans="1:19" x14ac:dyDescent="0.25">
      <c r="E135" s="3">
        <f>IF($A135="","",$A135&amp;"."&amp;$B135&amp;"."&amp;$C135&amp;"."&amp;$D135)</f>
      </c>
      <c r="I135" s="3">
        <f>IFERROR(VLOOKUP($A135,系統碼表!$A:$C,3,FALSE),"")</f>
      </c>
      <c r="J135" s="3">
        <f>IFERROR(VLOOKUP($A135,系統碼表!$A:$C,2,FALSE),"")</f>
      </c>
    </row>
    <row r="136" spans="1:19" x14ac:dyDescent="0.25">
      <c r="E136" s="3">
        <f>IF($A136="","",$A136&amp;"."&amp;$B136&amp;"."&amp;$C136&amp;"."&amp;$D136)</f>
      </c>
      <c r="I136" s="3">
        <f>IFERROR(VLOOKUP($A136,系統碼表!$A:$C,3,FALSE),"")</f>
      </c>
      <c r="J136" s="3">
        <f>IFERROR(VLOOKUP($A136,系統碼表!$A:$C,2,FALSE),"")</f>
      </c>
    </row>
    <row r="137" spans="1:19" x14ac:dyDescent="0.25">
      <c r="E137" s="3">
        <f>IF($A137="","",$A137&amp;"."&amp;$B137&amp;"."&amp;$C137&amp;"."&amp;$D137)</f>
      </c>
      <c r="I137" s="3">
        <f>IFERROR(VLOOKUP($A137,系統碼表!$A:$C,3,FALSE),"")</f>
      </c>
      <c r="J137" s="3">
        <f>IFERROR(VLOOKUP($A137,系統碼表!$A:$C,2,FALSE),"")</f>
      </c>
    </row>
    <row r="138" spans="1:19" x14ac:dyDescent="0.25">
      <c r="E138" s="3">
        <f>IF($A138="","",$A138&amp;"."&amp;$B138&amp;"."&amp;$C138&amp;"."&amp;$D138)</f>
      </c>
      <c r="I138" s="3">
        <f>IFERROR(VLOOKUP($A138,系統碼表!$A:$C,3,FALSE),"")</f>
      </c>
      <c r="J138" s="3">
        <f>IFERROR(VLOOKUP($A138,系統碼表!$A:$C,2,FALSE),"")</f>
      </c>
    </row>
    <row r="139" spans="1:19" x14ac:dyDescent="0.25">
      <c r="E139" s="3">
        <f>IF($A139="","",$A139&amp;"."&amp;$B139&amp;"."&amp;$C139&amp;"."&amp;$D139)</f>
      </c>
      <c r="I139" s="3">
        <f>IFERROR(VLOOKUP($A139,系統碼表!$A:$C,3,FALSE),"")</f>
      </c>
      <c r="J139" s="3">
        <f>IFERROR(VLOOKUP($A139,系統碼表!$A:$C,2,FALSE),"")</f>
      </c>
    </row>
    <row r="140" spans="1:19" x14ac:dyDescent="0.25">
      <c r="E140" s="3">
        <f>IF($A140="","",$A140&amp;"."&amp;$B140&amp;"."&amp;$C140&amp;"."&amp;$D140)</f>
      </c>
      <c r="I140" s="3">
        <f>IFERROR(VLOOKUP($A140,系統碼表!$A:$C,3,FALSE),"")</f>
      </c>
      <c r="J140" s="3">
        <f>IFERROR(VLOOKUP($A140,系統碼表!$A:$C,2,FALSE),"")</f>
      </c>
    </row>
    <row r="141" spans="1:19" x14ac:dyDescent="0.25">
      <c r="E141" s="3">
        <f>IF($A141="","",$A141&amp;"."&amp;$B141&amp;"."&amp;$C141&amp;"."&amp;$D141)</f>
      </c>
      <c r="I141" s="3">
        <f>IFERROR(VLOOKUP($A141,系統碼表!$A:$C,3,FALSE),"")</f>
      </c>
      <c r="J141" s="3">
        <f>IFERROR(VLOOKUP($A141,系統碼表!$A:$C,2,FALSE),"")</f>
      </c>
    </row>
    <row r="142" spans="1:19" x14ac:dyDescent="0.25">
      <c r="E142" s="3">
        <f>IF($A142="","",$A142&amp;"."&amp;$B142&amp;"."&amp;$C142&amp;"."&amp;$D142)</f>
      </c>
      <c r="I142" s="3">
        <f>IFERROR(VLOOKUP($A142,系統碼表!$A:$C,3,FALSE),"")</f>
      </c>
      <c r="J142" s="3">
        <f>IFERROR(VLOOKUP($A142,系統碼表!$A:$C,2,FALSE),"")</f>
      </c>
    </row>
    <row r="143" spans="1:19" x14ac:dyDescent="0.25">
      <c r="E143" s="3">
        <f>IF($A143="","",$A143&amp;"."&amp;$B143&amp;"."&amp;$C143&amp;"."&amp;$D143)</f>
      </c>
      <c r="I143" s="3">
        <f>IFERROR(VLOOKUP($A143,系統碼表!$A:$C,3,FALSE),"")</f>
      </c>
      <c r="J143" s="3">
        <f>IFERROR(VLOOKUP($A143,系統碼表!$A:$C,2,FALSE),"")</f>
      </c>
    </row>
    <row r="144" spans="1:19" x14ac:dyDescent="0.25">
      <c r="E144" s="3">
        <f>IF($A144="","",$A144&amp;"."&amp;$B144&amp;"."&amp;$C144&amp;"."&amp;$D144)</f>
      </c>
      <c r="I144" s="3">
        <f>IFERROR(VLOOKUP($A144,系統碼表!$A:$C,3,FALSE),"")</f>
      </c>
      <c r="J144" s="3">
        <f>IFERROR(VLOOKUP($A144,系統碼表!$A:$C,2,FALSE),"")</f>
      </c>
    </row>
    <row r="145" spans="1:19" x14ac:dyDescent="0.25">
      <c r="E145" s="3">
        <f>IF($A145="","",$A145&amp;"."&amp;$B145&amp;"."&amp;$C145&amp;"."&amp;$D145)</f>
      </c>
      <c r="I145" s="3">
        <f>IFERROR(VLOOKUP($A145,系統碼表!$A:$C,3,FALSE),"")</f>
      </c>
      <c r="J145" s="3">
        <f>IFERROR(VLOOKUP($A145,系統碼表!$A:$C,2,FALSE),"")</f>
      </c>
    </row>
    <row r="146" spans="1:19" x14ac:dyDescent="0.25">
      <c r="E146" s="3">
        <f>IF($A146="","",$A146&amp;"."&amp;$B146&amp;"."&amp;$C146&amp;"."&amp;$D146)</f>
      </c>
      <c r="I146" s="3">
        <f>IFERROR(VLOOKUP($A146,系統碼表!$A:$C,3,FALSE),"")</f>
      </c>
      <c r="J146" s="3">
        <f>IFERROR(VLOOKUP($A146,系統碼表!$A:$C,2,FALSE),"")</f>
      </c>
    </row>
    <row r="147" spans="1:19" x14ac:dyDescent="0.25">
      <c r="E147" s="3">
        <f>IF($A147="","",$A147&amp;"."&amp;$B147&amp;"."&amp;$C147&amp;"."&amp;$D147)</f>
      </c>
      <c r="I147" s="3">
        <f>IFERROR(VLOOKUP($A147,系統碼表!$A:$C,3,FALSE),"")</f>
      </c>
      <c r="J147" s="3">
        <f>IFERROR(VLOOKUP($A147,系統碼表!$A:$C,2,FALSE),"")</f>
      </c>
    </row>
    <row r="148" spans="1:19" x14ac:dyDescent="0.25">
      <c r="E148" s="3">
        <f>IF($A148="","",$A148&amp;"."&amp;$B148&amp;"."&amp;$C148&amp;"."&amp;$D148)</f>
      </c>
      <c r="I148" s="3">
        <f>IFERROR(VLOOKUP($A148,系統碼表!$A:$C,3,FALSE),"")</f>
      </c>
      <c r="J148" s="3">
        <f>IFERROR(VLOOKUP($A148,系統碼表!$A:$C,2,FALSE),"")</f>
      </c>
    </row>
    <row r="149" spans="1:19" x14ac:dyDescent="0.25">
      <c r="E149" s="3">
        <f>IF($A149="","",$A149&amp;"."&amp;$B149&amp;"."&amp;$C149&amp;"."&amp;$D149)</f>
      </c>
      <c r="I149" s="3">
        <f>IFERROR(VLOOKUP($A149,系統碼表!$A:$C,3,FALSE),"")</f>
      </c>
      <c r="J149" s="3">
        <f>IFERROR(VLOOKUP($A149,系統碼表!$A:$C,2,FALSE),"")</f>
      </c>
    </row>
    <row r="150" spans="1:19" x14ac:dyDescent="0.25">
      <c r="E150" s="3">
        <f>IF($A150="","",$A150&amp;"."&amp;$B150&amp;"."&amp;$C150&amp;"."&amp;$D150)</f>
      </c>
      <c r="I150" s="3">
        <f>IFERROR(VLOOKUP($A150,系統碼表!$A:$C,3,FALSE),"")</f>
      </c>
      <c r="J150" s="3">
        <f>IFERROR(VLOOKUP($A150,系統碼表!$A:$C,2,FALSE),"")</f>
      </c>
    </row>
    <row r="151" spans="1:19" x14ac:dyDescent="0.25">
      <c r="E151" s="3">
        <f>IF($A151="","",$A151&amp;"."&amp;$B151&amp;"."&amp;$C151&amp;"."&amp;$D151)</f>
      </c>
      <c r="I151" s="3">
        <f>IFERROR(VLOOKUP($A151,系統碼表!$A:$C,3,FALSE),"")</f>
      </c>
      <c r="J151" s="3">
        <f>IFERROR(VLOOKUP($A151,系統碼表!$A:$C,2,FALSE),"")</f>
      </c>
    </row>
    <row r="152" spans="1:19" x14ac:dyDescent="0.25">
      <c r="E152" s="3">
        <f>IF($A152="","",$A152&amp;"."&amp;$B152&amp;"."&amp;$C152&amp;"."&amp;$D152)</f>
      </c>
      <c r="I152" s="3">
        <f>IFERROR(VLOOKUP($A152,系統碼表!$A:$C,3,FALSE),"")</f>
      </c>
      <c r="J152" s="3">
        <f>IFERROR(VLOOKUP($A152,系統碼表!$A:$C,2,FALSE),"")</f>
      </c>
    </row>
    <row r="153" spans="1:19" x14ac:dyDescent="0.25">
      <c r="E153" s="3">
        <f>IF($A153="","",$A153&amp;"."&amp;$B153&amp;"."&amp;$C153&amp;"."&amp;$D153)</f>
      </c>
      <c r="I153" s="3">
        <f>IFERROR(VLOOKUP($A153,系統碼表!$A:$C,3,FALSE),"")</f>
      </c>
      <c r="J153" s="3">
        <f>IFERROR(VLOOKUP($A153,系統碼表!$A:$C,2,FALSE),"")</f>
      </c>
    </row>
    <row r="154" spans="1:19" x14ac:dyDescent="0.25">
      <c r="E154" s="3">
        <f>IF($A154="","",$A154&amp;"."&amp;$B154&amp;"."&amp;$C154&amp;"."&amp;$D154)</f>
      </c>
      <c r="I154" s="3">
        <f>IFERROR(VLOOKUP($A154,系統碼表!$A:$C,3,FALSE),"")</f>
      </c>
      <c r="J154" s="3">
        <f>IFERROR(VLOOKUP($A154,系統碼表!$A:$C,2,FALSE),"")</f>
      </c>
    </row>
    <row r="155" spans="1:19" x14ac:dyDescent="0.25">
      <c r="E155" s="3">
        <f>IF($A155="","",$A155&amp;"."&amp;$B155&amp;"."&amp;$C155&amp;"."&amp;$D155)</f>
      </c>
      <c r="I155" s="3">
        <f>IFERROR(VLOOKUP($A155,系統碼表!$A:$C,3,FALSE),"")</f>
      </c>
      <c r="J155" s="3">
        <f>IFERROR(VLOOKUP($A155,系統碼表!$A:$C,2,FALSE),"")</f>
      </c>
    </row>
    <row r="156" spans="1:19" x14ac:dyDescent="0.25">
      <c r="E156" s="3">
        <f>IF($A156="","",$A156&amp;"."&amp;$B156&amp;"."&amp;$C156&amp;"."&amp;$D156)</f>
      </c>
      <c r="I156" s="3">
        <f>IFERROR(VLOOKUP($A156,系統碼表!$A:$C,3,FALSE),"")</f>
      </c>
      <c r="J156" s="3">
        <f>IFERROR(VLOOKUP($A156,系統碼表!$A:$C,2,FALSE),"")</f>
      </c>
    </row>
    <row r="157" spans="1:19" x14ac:dyDescent="0.25">
      <c r="E157" s="3">
        <f>IF($A157="","",$A157&amp;"."&amp;$B157&amp;"."&amp;$C157&amp;"."&amp;$D157)</f>
      </c>
      <c r="I157" s="3">
        <f>IFERROR(VLOOKUP($A157,系統碼表!$A:$C,3,FALSE),"")</f>
      </c>
      <c r="J157" s="3">
        <f>IFERROR(VLOOKUP($A157,系統碼表!$A:$C,2,FALSE),"")</f>
      </c>
    </row>
    <row r="158" spans="1:19" x14ac:dyDescent="0.25">
      <c r="E158" s="3">
        <f>IF($A158="","",$A158&amp;"."&amp;$B158&amp;"."&amp;$C158&amp;"."&amp;$D158)</f>
      </c>
      <c r="I158" s="3">
        <f>IFERROR(VLOOKUP($A158,系統碼表!$A:$C,3,FALSE),"")</f>
      </c>
      <c r="J158" s="3">
        <f>IFERROR(VLOOKUP($A158,系統碼表!$A:$C,2,FALSE),"")</f>
      </c>
    </row>
    <row r="159" spans="1:19" x14ac:dyDescent="0.25">
      <c r="E159" s="3">
        <f>IF($A159="","",$A159&amp;"."&amp;$B159&amp;"."&amp;$C159&amp;"."&amp;$D159)</f>
      </c>
      <c r="I159" s="3">
        <f>IFERROR(VLOOKUP($A159,系統碼表!$A:$C,3,FALSE),"")</f>
      </c>
      <c r="J159" s="3">
        <f>IFERROR(VLOOKUP($A159,系統碼表!$A:$C,2,FALSE),"")</f>
      </c>
    </row>
    <row r="160" spans="1:19" x14ac:dyDescent="0.25">
      <c r="E160" s="3">
        <f>IF($A160="","",$A160&amp;"."&amp;$B160&amp;"."&amp;$C160&amp;"."&amp;$D160)</f>
      </c>
      <c r="I160" s="3">
        <f>IFERROR(VLOOKUP($A160,系統碼表!$A:$C,3,FALSE),"")</f>
      </c>
      <c r="J160" s="3">
        <f>IFERROR(VLOOKUP($A160,系統碼表!$A:$C,2,FALSE),"")</f>
      </c>
    </row>
    <row r="161" spans="1:19" x14ac:dyDescent="0.25">
      <c r="E161" s="3">
        <f>IF($A161="","",$A161&amp;"."&amp;$B161&amp;"."&amp;$C161&amp;"."&amp;$D161)</f>
      </c>
      <c r="I161" s="3">
        <f>IFERROR(VLOOKUP($A161,系統碼表!$A:$C,3,FALSE),"")</f>
      </c>
      <c r="J161" s="3">
        <f>IFERROR(VLOOKUP($A161,系統碼表!$A:$C,2,FALSE),"")</f>
      </c>
    </row>
    <row r="162" spans="1:19" x14ac:dyDescent="0.25">
      <c r="E162" s="3">
        <f>IF($A162="","",$A162&amp;"."&amp;$B162&amp;"."&amp;$C162&amp;"."&amp;$D162)</f>
      </c>
      <c r="I162" s="3">
        <f>IFERROR(VLOOKUP($A162,系統碼表!$A:$C,3,FALSE),"")</f>
      </c>
      <c r="J162" s="3">
        <f>IFERROR(VLOOKUP($A162,系統碼表!$A:$C,2,FALSE),"")</f>
      </c>
    </row>
    <row r="163" spans="1:19" x14ac:dyDescent="0.25">
      <c r="E163" s="3">
        <f>IF($A163="","",$A163&amp;"."&amp;$B163&amp;"."&amp;$C163&amp;"."&amp;$D163)</f>
      </c>
      <c r="I163" s="3">
        <f>IFERROR(VLOOKUP($A163,系統碼表!$A:$C,3,FALSE),"")</f>
      </c>
      <c r="J163" s="3">
        <f>IFERROR(VLOOKUP($A163,系統碼表!$A:$C,2,FALSE),"")</f>
      </c>
    </row>
    <row r="164" spans="1:19" x14ac:dyDescent="0.25">
      <c r="E164" s="3">
        <f>IF($A164="","",$A164&amp;"."&amp;$B164&amp;"."&amp;$C164&amp;"."&amp;$D164)</f>
      </c>
      <c r="I164" s="3">
        <f>IFERROR(VLOOKUP($A164,系統碼表!$A:$C,3,FALSE),"")</f>
      </c>
      <c r="J164" s="3">
        <f>IFERROR(VLOOKUP($A164,系統碼表!$A:$C,2,FALSE),"")</f>
      </c>
    </row>
    <row r="165" spans="1:19" x14ac:dyDescent="0.25">
      <c r="E165" s="3">
        <f>IF($A165="","",$A165&amp;"."&amp;$B165&amp;"."&amp;$C165&amp;"."&amp;$D165)</f>
      </c>
      <c r="I165" s="3">
        <f>IFERROR(VLOOKUP($A165,系統碼表!$A:$C,3,FALSE),"")</f>
      </c>
      <c r="J165" s="3">
        <f>IFERROR(VLOOKUP($A165,系統碼表!$A:$C,2,FALSE),"")</f>
      </c>
    </row>
    <row r="166" spans="1:19" x14ac:dyDescent="0.25">
      <c r="E166" s="3">
        <f>IF($A166="","",$A166&amp;"."&amp;$B166&amp;"."&amp;$C166&amp;"."&amp;$D166)</f>
      </c>
      <c r="I166" s="3">
        <f>IFERROR(VLOOKUP($A166,系統碼表!$A:$C,3,FALSE),"")</f>
      </c>
      <c r="J166" s="3">
        <f>IFERROR(VLOOKUP($A166,系統碼表!$A:$C,2,FALSE),"")</f>
      </c>
    </row>
    <row r="167" spans="1:19" x14ac:dyDescent="0.25">
      <c r="E167" s="3">
        <f>IF($A167="","",$A167&amp;"."&amp;$B167&amp;"."&amp;$C167&amp;"."&amp;$D167)</f>
      </c>
      <c r="I167" s="3">
        <f>IFERROR(VLOOKUP($A167,系統碼表!$A:$C,3,FALSE),"")</f>
      </c>
      <c r="J167" s="3">
        <f>IFERROR(VLOOKUP($A167,系統碼表!$A:$C,2,FALSE),"")</f>
      </c>
    </row>
    <row r="168" spans="1:19" x14ac:dyDescent="0.25">
      <c r="E168" s="3">
        <f>IF($A168="","",$A168&amp;"."&amp;$B168&amp;"."&amp;$C168&amp;"."&amp;$D168)</f>
      </c>
      <c r="I168" s="3">
        <f>IFERROR(VLOOKUP($A168,系統碼表!$A:$C,3,FALSE),"")</f>
      </c>
      <c r="J168" s="3">
        <f>IFERROR(VLOOKUP($A168,系統碼表!$A:$C,2,FALSE),"")</f>
      </c>
    </row>
    <row r="169" spans="1:19" x14ac:dyDescent="0.25">
      <c r="E169" s="3">
        <f>IF($A169="","",$A169&amp;"."&amp;$B169&amp;"."&amp;$C169&amp;"."&amp;$D169)</f>
      </c>
      <c r="I169" s="3">
        <f>IFERROR(VLOOKUP($A169,系統碼表!$A:$C,3,FALSE),"")</f>
      </c>
      <c r="J169" s="3">
        <f>IFERROR(VLOOKUP($A169,系統碼表!$A:$C,2,FALSE),"")</f>
      </c>
    </row>
    <row r="170" spans="1:19" x14ac:dyDescent="0.25">
      <c r="E170" s="3">
        <f>IF($A170="","",$A170&amp;"."&amp;$B170&amp;"."&amp;$C170&amp;"."&amp;$D170)</f>
      </c>
      <c r="I170" s="3">
        <f>IFERROR(VLOOKUP($A170,系統碼表!$A:$C,3,FALSE),"")</f>
      </c>
      <c r="J170" s="3">
        <f>IFERROR(VLOOKUP($A170,系統碼表!$A:$C,2,FALSE),"")</f>
      </c>
    </row>
    <row r="171" spans="1:19" x14ac:dyDescent="0.25">
      <c r="E171" s="3">
        <f>IF($A171="","",$A171&amp;"."&amp;$B171&amp;"."&amp;$C171&amp;"."&amp;$D171)</f>
      </c>
      <c r="I171" s="3">
        <f>IFERROR(VLOOKUP($A171,系統碼表!$A:$C,3,FALSE),"")</f>
      </c>
      <c r="J171" s="3">
        <f>IFERROR(VLOOKUP($A171,系統碼表!$A:$C,2,FALSE),"")</f>
      </c>
    </row>
    <row r="172" spans="1:19" x14ac:dyDescent="0.25">
      <c r="E172" s="3">
        <f>IF($A172="","",$A172&amp;"."&amp;$B172&amp;"."&amp;$C172&amp;"."&amp;$D172)</f>
      </c>
      <c r="I172" s="3">
        <f>IFERROR(VLOOKUP($A172,系統碼表!$A:$C,3,FALSE),"")</f>
      </c>
      <c r="J172" s="3">
        <f>IFERROR(VLOOKUP($A172,系統碼表!$A:$C,2,FALSE),"")</f>
      </c>
    </row>
    <row r="173" spans="1:19" x14ac:dyDescent="0.25">
      <c r="E173" s="3">
        <f>IF($A173="","",$A173&amp;"."&amp;$B173&amp;"."&amp;$C173&amp;"."&amp;$D173)</f>
      </c>
      <c r="I173" s="3">
        <f>IFERROR(VLOOKUP($A173,系統碼表!$A:$C,3,FALSE),"")</f>
      </c>
      <c r="J173" s="3">
        <f>IFERROR(VLOOKUP($A173,系統碼表!$A:$C,2,FALSE),"")</f>
      </c>
    </row>
    <row r="174" spans="1:19" x14ac:dyDescent="0.25">
      <c r="E174" s="3">
        <f>IF($A174="","",$A174&amp;"."&amp;$B174&amp;"."&amp;$C174&amp;"."&amp;$D174)</f>
      </c>
      <c r="I174" s="3">
        <f>IFERROR(VLOOKUP($A174,系統碼表!$A:$C,3,FALSE),"")</f>
      </c>
      <c r="J174" s="3">
        <f>IFERROR(VLOOKUP($A174,系統碼表!$A:$C,2,FALSE),"")</f>
      </c>
    </row>
    <row r="175" spans="1:19" x14ac:dyDescent="0.25">
      <c r="E175" s="3">
        <f>IF($A175="","",$A175&amp;"."&amp;$B175&amp;"."&amp;$C175&amp;"."&amp;$D175)</f>
      </c>
      <c r="I175" s="3">
        <f>IFERROR(VLOOKUP($A175,系統碼表!$A:$C,3,FALSE),"")</f>
      </c>
      <c r="J175" s="3">
        <f>IFERROR(VLOOKUP($A175,系統碼表!$A:$C,2,FALSE),"")</f>
      </c>
    </row>
    <row r="176" spans="1:19" x14ac:dyDescent="0.25">
      <c r="E176" s="3">
        <f>IF($A176="","",$A176&amp;"."&amp;$B176&amp;"."&amp;$C176&amp;"."&amp;$D176)</f>
      </c>
      <c r="I176" s="3">
        <f>IFERROR(VLOOKUP($A176,系統碼表!$A:$C,3,FALSE),"")</f>
      </c>
      <c r="J176" s="3">
        <f>IFERROR(VLOOKUP($A176,系統碼表!$A:$C,2,FALSE),"")</f>
      </c>
    </row>
    <row r="177" spans="1:19" x14ac:dyDescent="0.25">
      <c r="E177" s="3">
        <f>IF($A177="","",$A177&amp;"."&amp;$B177&amp;"."&amp;$C177&amp;"."&amp;$D177)</f>
      </c>
      <c r="I177" s="3">
        <f>IFERROR(VLOOKUP($A177,系統碼表!$A:$C,3,FALSE),"")</f>
      </c>
      <c r="J177" s="3">
        <f>IFERROR(VLOOKUP($A177,系統碼表!$A:$C,2,FALSE),"")</f>
      </c>
    </row>
    <row r="178" spans="1:19" x14ac:dyDescent="0.25">
      <c r="E178" s="3">
        <f>IF($A178="","",$A178&amp;"."&amp;$B178&amp;"."&amp;$C178&amp;"."&amp;$D178)</f>
      </c>
      <c r="I178" s="3">
        <f>IFERROR(VLOOKUP($A178,系統碼表!$A:$C,3,FALSE),"")</f>
      </c>
      <c r="J178" s="3">
        <f>IFERROR(VLOOKUP($A178,系統碼表!$A:$C,2,FALSE),"")</f>
      </c>
    </row>
    <row r="179" spans="1:19" x14ac:dyDescent="0.25">
      <c r="E179" s="3">
        <f>IF($A179="","",$A179&amp;"."&amp;$B179&amp;"."&amp;$C179&amp;"."&amp;$D179)</f>
      </c>
      <c r="I179" s="3">
        <f>IFERROR(VLOOKUP($A179,系統碼表!$A:$C,3,FALSE),"")</f>
      </c>
      <c r="J179" s="3">
        <f>IFERROR(VLOOKUP($A179,系統碼表!$A:$C,2,FALSE),"")</f>
      </c>
    </row>
    <row r="180" spans="1:19" x14ac:dyDescent="0.25">
      <c r="E180" s="3">
        <f>IF($A180="","",$A180&amp;"."&amp;$B180&amp;"."&amp;$C180&amp;"."&amp;$D180)</f>
      </c>
      <c r="I180" s="3">
        <f>IFERROR(VLOOKUP($A180,系統碼表!$A:$C,3,FALSE),"")</f>
      </c>
      <c r="J180" s="3">
        <f>IFERROR(VLOOKUP($A180,系統碼表!$A:$C,2,FALSE),"")</f>
      </c>
    </row>
    <row r="181" spans="1:19" x14ac:dyDescent="0.25">
      <c r="E181" s="3">
        <f>IF($A181="","",$A181&amp;"."&amp;$B181&amp;"."&amp;$C181&amp;"."&amp;$D181)</f>
      </c>
      <c r="I181" s="3">
        <f>IFERROR(VLOOKUP($A181,系統碼表!$A:$C,3,FALSE),"")</f>
      </c>
      <c r="J181" s="3">
        <f>IFERROR(VLOOKUP($A181,系統碼表!$A:$C,2,FALSE),"")</f>
      </c>
    </row>
    <row r="182" spans="1:19" x14ac:dyDescent="0.25">
      <c r="E182" s="3">
        <f>IF($A182="","",$A182&amp;"."&amp;$B182&amp;"."&amp;$C182&amp;"."&amp;$D182)</f>
      </c>
      <c r="I182" s="3">
        <f>IFERROR(VLOOKUP($A182,系統碼表!$A:$C,3,FALSE),"")</f>
      </c>
      <c r="J182" s="3">
        <f>IFERROR(VLOOKUP($A182,系統碼表!$A:$C,2,FALSE),"")</f>
      </c>
    </row>
    <row r="183" spans="1:19" x14ac:dyDescent="0.25">
      <c r="E183" s="3">
        <f>IF($A183="","",$A183&amp;"."&amp;$B183&amp;"."&amp;$C183&amp;"."&amp;$D183)</f>
      </c>
      <c r="I183" s="3">
        <f>IFERROR(VLOOKUP($A183,系統碼表!$A:$C,3,FALSE),"")</f>
      </c>
      <c r="J183" s="3">
        <f>IFERROR(VLOOKUP($A183,系統碼表!$A:$C,2,FALSE),"")</f>
      </c>
    </row>
    <row r="184" spans="1:19" x14ac:dyDescent="0.25">
      <c r="E184" s="3">
        <f>IF($A184="","",$A184&amp;"."&amp;$B184&amp;"."&amp;$C184&amp;"."&amp;$D184)</f>
      </c>
      <c r="I184" s="3">
        <f>IFERROR(VLOOKUP($A184,系統碼表!$A:$C,3,FALSE),"")</f>
      </c>
      <c r="J184" s="3">
        <f>IFERROR(VLOOKUP($A184,系統碼表!$A:$C,2,FALSE),"")</f>
      </c>
    </row>
    <row r="185" spans="1:19" x14ac:dyDescent="0.25">
      <c r="E185" s="3">
        <f>IF($A185="","",$A185&amp;"."&amp;$B185&amp;"."&amp;$C185&amp;"."&amp;$D185)</f>
      </c>
      <c r="I185" s="3">
        <f>IFERROR(VLOOKUP($A185,系統碼表!$A:$C,3,FALSE),"")</f>
      </c>
      <c r="J185" s="3">
        <f>IFERROR(VLOOKUP($A185,系統碼表!$A:$C,2,FALSE),"")</f>
      </c>
    </row>
    <row r="186" spans="1:19" x14ac:dyDescent="0.25">
      <c r="E186" s="3">
        <f>IF($A186="","",$A186&amp;"."&amp;$B186&amp;"."&amp;$C186&amp;"."&amp;$D186)</f>
      </c>
      <c r="I186" s="3">
        <f>IFERROR(VLOOKUP($A186,系統碼表!$A:$C,3,FALSE),"")</f>
      </c>
      <c r="J186" s="3">
        <f>IFERROR(VLOOKUP($A186,系統碼表!$A:$C,2,FALSE),"")</f>
      </c>
    </row>
    <row r="187" spans="1:19" x14ac:dyDescent="0.25">
      <c r="E187" s="3">
        <f>IF($A187="","",$A187&amp;"."&amp;$B187&amp;"."&amp;$C187&amp;"."&amp;$D187)</f>
      </c>
      <c r="I187" s="3">
        <f>IFERROR(VLOOKUP($A187,系統碼表!$A:$C,3,FALSE),"")</f>
      </c>
      <c r="J187" s="3">
        <f>IFERROR(VLOOKUP($A187,系統碼表!$A:$C,2,FALSE),"")</f>
      </c>
    </row>
    <row r="188" spans="1:19" x14ac:dyDescent="0.25">
      <c r="E188" s="3">
        <f>IF($A188="","",$A188&amp;"."&amp;$B188&amp;"."&amp;$C188&amp;"."&amp;$D188)</f>
      </c>
      <c r="I188" s="3">
        <f>IFERROR(VLOOKUP($A188,系統碼表!$A:$C,3,FALSE),"")</f>
      </c>
      <c r="J188" s="3">
        <f>IFERROR(VLOOKUP($A188,系統碼表!$A:$C,2,FALSE),"")</f>
      </c>
    </row>
    <row r="189" spans="1:19" x14ac:dyDescent="0.25">
      <c r="E189" s="3">
        <f>IF($A189="","",$A189&amp;"."&amp;$B189&amp;"."&amp;$C189&amp;"."&amp;$D189)</f>
      </c>
      <c r="I189" s="3">
        <f>IFERROR(VLOOKUP($A189,系統碼表!$A:$C,3,FALSE),"")</f>
      </c>
      <c r="J189" s="3">
        <f>IFERROR(VLOOKUP($A189,系統碼表!$A:$C,2,FALSE),"")</f>
      </c>
    </row>
    <row r="190" spans="1:19" x14ac:dyDescent="0.25">
      <c r="E190" s="3">
        <f>IF($A190="","",$A190&amp;"."&amp;$B190&amp;"."&amp;$C190&amp;"."&amp;$D190)</f>
      </c>
      <c r="I190" s="3">
        <f>IFERROR(VLOOKUP($A190,系統碼表!$A:$C,3,FALSE),"")</f>
      </c>
      <c r="J190" s="3">
        <f>IFERROR(VLOOKUP($A190,系統碼表!$A:$C,2,FALSE),"")</f>
      </c>
    </row>
    <row r="191" spans="1:19" x14ac:dyDescent="0.25">
      <c r="E191" s="3">
        <f>IF($A191="","",$A191&amp;"."&amp;$B191&amp;"."&amp;$C191&amp;"."&amp;$D191)</f>
      </c>
      <c r="I191" s="3">
        <f>IFERROR(VLOOKUP($A191,系統碼表!$A:$C,3,FALSE),"")</f>
      </c>
      <c r="J191" s="3">
        <f>IFERROR(VLOOKUP($A191,系統碼表!$A:$C,2,FALSE),"")</f>
      </c>
    </row>
    <row r="192" spans="1:19" x14ac:dyDescent="0.25">
      <c r="E192" s="3">
        <f>IF($A192="","",$A192&amp;"."&amp;$B192&amp;"."&amp;$C192&amp;"."&amp;$D192)</f>
      </c>
      <c r="I192" s="3">
        <f>IFERROR(VLOOKUP($A192,系統碼表!$A:$C,3,FALSE),"")</f>
      </c>
      <c r="J192" s="3">
        <f>IFERROR(VLOOKUP($A192,系統碼表!$A:$C,2,FALSE),"")</f>
      </c>
    </row>
    <row r="193" spans="1:19" x14ac:dyDescent="0.25">
      <c r="E193" s="3">
        <f>IF($A193="","",$A193&amp;"."&amp;$B193&amp;"."&amp;$C193&amp;"."&amp;$D193)</f>
      </c>
      <c r="I193" s="3">
        <f>IFERROR(VLOOKUP($A193,系統碼表!$A:$C,3,FALSE),"")</f>
      </c>
      <c r="J193" s="3">
        <f>IFERROR(VLOOKUP($A193,系統碼表!$A:$C,2,FALSE),"")</f>
      </c>
    </row>
    <row r="194" spans="1:19" x14ac:dyDescent="0.25">
      <c r="E194" s="3">
        <f>IF($A194="","",$A194&amp;"."&amp;$B194&amp;"."&amp;$C194&amp;"."&amp;$D194)</f>
      </c>
      <c r="I194" s="3">
        <f>IFERROR(VLOOKUP($A194,系統碼表!$A:$C,3,FALSE),"")</f>
      </c>
      <c r="J194" s="3">
        <f>IFERROR(VLOOKUP($A194,系統碼表!$A:$C,2,FALSE),"")</f>
      </c>
    </row>
    <row r="195" spans="1:19" x14ac:dyDescent="0.25">
      <c r="E195" s="3">
        <f>IF($A195="","",$A195&amp;"."&amp;$B195&amp;"."&amp;$C195&amp;"."&amp;$D195)</f>
      </c>
      <c r="I195" s="3">
        <f>IFERROR(VLOOKUP($A195,系統碼表!$A:$C,3,FALSE),"")</f>
      </c>
      <c r="J195" s="3">
        <f>IFERROR(VLOOKUP($A195,系統碼表!$A:$C,2,FALSE),"")</f>
      </c>
    </row>
    <row r="196" spans="1:19" x14ac:dyDescent="0.25">
      <c r="E196" s="3">
        <f>IF($A196="","",$A196&amp;"."&amp;$B196&amp;"."&amp;$C196&amp;"."&amp;$D196)</f>
      </c>
      <c r="I196" s="3">
        <f>IFERROR(VLOOKUP($A196,系統碼表!$A:$C,3,FALSE),"")</f>
      </c>
      <c r="J196" s="3">
        <f>IFERROR(VLOOKUP($A196,系統碼表!$A:$C,2,FALSE),"")</f>
      </c>
    </row>
    <row r="197" spans="1:19" x14ac:dyDescent="0.25">
      <c r="E197" s="3">
        <f>IF($A197="","",$A197&amp;"."&amp;$B197&amp;"."&amp;$C197&amp;"."&amp;$D197)</f>
      </c>
      <c r="I197" s="3">
        <f>IFERROR(VLOOKUP($A197,系統碼表!$A:$C,3,FALSE),"")</f>
      </c>
      <c r="J197" s="3">
        <f>IFERROR(VLOOKUP($A197,系統碼表!$A:$C,2,FALSE),"")</f>
      </c>
    </row>
    <row r="198" spans="1:19" x14ac:dyDescent="0.25">
      <c r="E198" s="3">
        <f>IF($A198="","",$A198&amp;"."&amp;$B198&amp;"."&amp;$C198&amp;"."&amp;$D198)</f>
      </c>
      <c r="I198" s="3">
        <f>IFERROR(VLOOKUP($A198,系統碼表!$A:$C,3,FALSE),"")</f>
      </c>
      <c r="J198" s="3">
        <f>IFERROR(VLOOKUP($A198,系統碼表!$A:$C,2,FALSE),"")</f>
      </c>
    </row>
    <row r="199" spans="1:19" x14ac:dyDescent="0.25">
      <c r="E199" s="3">
        <f>IF($A199="","",$A199&amp;"."&amp;$B199&amp;"."&amp;$C199&amp;"."&amp;$D199)</f>
      </c>
      <c r="I199" s="3">
        <f>IFERROR(VLOOKUP($A199,系統碼表!$A:$C,3,FALSE),"")</f>
      </c>
      <c r="J199" s="3">
        <f>IFERROR(VLOOKUP($A199,系統碼表!$A:$C,2,FALSE),"")</f>
      </c>
    </row>
    <row r="200" spans="1:19" x14ac:dyDescent="0.25">
      <c r="E200" s="3">
        <f>IF($A200="","",$A200&amp;"."&amp;$B200&amp;"."&amp;$C200&amp;"."&amp;$D200)</f>
      </c>
      <c r="I200" s="3">
        <f>IFERROR(VLOOKUP($A200,系統碼表!$A:$C,3,FALSE),"")</f>
      </c>
      <c r="J200" s="3">
        <f>IFERROR(VLOOKUP($A200,系統碼表!$A:$C,2,FALSE),"")</f>
      </c>
    </row>
    <row r="201" spans="1:19" x14ac:dyDescent="0.25">
      <c r="E201" s="3">
        <f>IF($A201="","",$A201&amp;"."&amp;$B201&amp;"."&amp;$C201&amp;"."&amp;$D201)</f>
      </c>
      <c r="I201" s="3">
        <f>IFERROR(VLOOKUP($A201,系統碼表!$A:$C,3,FALSE),"")</f>
      </c>
      <c r="J201" s="3">
        <f>IFERROR(VLOOKUP($A201,系統碼表!$A:$C,2,FALSE),"")</f>
      </c>
    </row>
    <row r="202" spans="1:19" x14ac:dyDescent="0.25">
      <c r="E202" s="3">
        <f>IF($A202="","",$A202&amp;"."&amp;$B202&amp;"."&amp;$C202&amp;"."&amp;$D202)</f>
      </c>
      <c r="I202" s="3">
        <f>IFERROR(VLOOKUP($A202,系統碼表!$A:$C,3,FALSE),"")</f>
      </c>
      <c r="J202" s="3">
        <f>IFERROR(VLOOKUP($A202,系統碼表!$A:$C,2,FALSE),"")</f>
      </c>
    </row>
    <row r="203" spans="1:19" x14ac:dyDescent="0.25">
      <c r="E203" s="3">
        <f>IF($A203="","",$A203&amp;"."&amp;$B203&amp;"."&amp;$C203&amp;"."&amp;$D203)</f>
      </c>
      <c r="I203" s="3">
        <f>IFERROR(VLOOKUP($A203,系統碼表!$A:$C,3,FALSE),"")</f>
      </c>
      <c r="J203" s="3">
        <f>IFERROR(VLOOKUP($A203,系統碼表!$A:$C,2,FALSE),"")</f>
      </c>
    </row>
    <row r="204" spans="1:19" x14ac:dyDescent="0.25">
      <c r="E204" s="3">
        <f>IF($A204="","",$A204&amp;"."&amp;$B204&amp;"."&amp;$C204&amp;"."&amp;$D204)</f>
      </c>
      <c r="I204" s="3">
        <f>IFERROR(VLOOKUP($A204,系統碼表!$A:$C,3,FALSE),"")</f>
      </c>
      <c r="J204" s="3">
        <f>IFERROR(VLOOKUP($A204,系統碼表!$A:$C,2,FALSE),"")</f>
      </c>
    </row>
    <row r="205" spans="1:19" x14ac:dyDescent="0.25">
      <c r="E205" s="3">
        <f>IF($A205="","",$A205&amp;"."&amp;$B205&amp;"."&amp;$C205&amp;"."&amp;$D205)</f>
      </c>
      <c r="I205" s="3">
        <f>IFERROR(VLOOKUP($A205,系統碼表!$A:$C,3,FALSE),"")</f>
      </c>
      <c r="J205" s="3">
        <f>IFERROR(VLOOKUP($A205,系統碼表!$A:$C,2,FALSE),"")</f>
      </c>
    </row>
    <row r="206" spans="1:19" x14ac:dyDescent="0.25">
      <c r="E206" s="3">
        <f>IF($A206="","",$A206&amp;"."&amp;$B206&amp;"."&amp;$C206&amp;"."&amp;$D206)</f>
      </c>
      <c r="I206" s="3">
        <f>IFERROR(VLOOKUP($A206,系統碼表!$A:$C,3,FALSE),"")</f>
      </c>
      <c r="J206" s="3">
        <f>IFERROR(VLOOKUP($A206,系統碼表!$A:$C,2,FALSE),"")</f>
      </c>
    </row>
    <row r="207" spans="1:19" x14ac:dyDescent="0.25">
      <c r="E207" s="3">
        <f>IF($A207="","",$A207&amp;"."&amp;$B207&amp;"."&amp;$C207&amp;"."&amp;$D207)</f>
      </c>
      <c r="I207" s="3">
        <f>IFERROR(VLOOKUP($A207,系統碼表!$A:$C,3,FALSE),"")</f>
      </c>
      <c r="J207" s="3">
        <f>IFERROR(VLOOKUP($A207,系統碼表!$A:$C,2,FALSE),"")</f>
      </c>
    </row>
    <row r="208" spans="1:19" x14ac:dyDescent="0.25">
      <c r="E208" s="3">
        <f>IF($A208="","",$A208&amp;"."&amp;$B208&amp;"."&amp;$C208&amp;"."&amp;$D208)</f>
      </c>
      <c r="I208" s="3">
        <f>IFERROR(VLOOKUP($A208,系統碼表!$A:$C,3,FALSE),"")</f>
      </c>
      <c r="J208" s="3">
        <f>IFERROR(VLOOKUP($A208,系統碼表!$A:$C,2,FALSE),"")</f>
      </c>
    </row>
    <row r="209" spans="1:19" x14ac:dyDescent="0.25">
      <c r="E209" s="3">
        <f>IF($A209="","",$A209&amp;"."&amp;$B209&amp;"."&amp;$C209&amp;"."&amp;$D209)</f>
      </c>
      <c r="I209" s="3">
        <f>IFERROR(VLOOKUP($A209,系統碼表!$A:$C,3,FALSE),"")</f>
      </c>
      <c r="J209" s="3">
        <f>IFERROR(VLOOKUP($A209,系統碼表!$A:$C,2,FALSE),"")</f>
      </c>
    </row>
    <row r="210" spans="1:19" x14ac:dyDescent="0.25">
      <c r="E210" s="3">
        <f>IF($A210="","",$A210&amp;"."&amp;$B210&amp;"."&amp;$C210&amp;"."&amp;$D210)</f>
      </c>
      <c r="I210" s="3">
        <f>IFERROR(VLOOKUP($A210,系統碼表!$A:$C,3,FALSE),"")</f>
      </c>
      <c r="J210" s="3">
        <f>IFERROR(VLOOKUP($A210,系統碼表!$A:$C,2,FALSE),"")</f>
      </c>
    </row>
    <row r="211" spans="1:19" x14ac:dyDescent="0.25">
      <c r="E211" s="3">
        <f>IF($A211="","",$A211&amp;"."&amp;$B211&amp;"."&amp;$C211&amp;"."&amp;$D211)</f>
      </c>
      <c r="I211" s="3">
        <f>IFERROR(VLOOKUP($A211,系統碼表!$A:$C,3,FALSE),"")</f>
      </c>
      <c r="J211" s="3">
        <f>IFERROR(VLOOKUP($A211,系統碼表!$A:$C,2,FALSE),"")</f>
      </c>
    </row>
    <row r="212" spans="1:19" x14ac:dyDescent="0.25">
      <c r="E212" s="3">
        <f>IF($A212="","",$A212&amp;"."&amp;$B212&amp;"."&amp;$C212&amp;"."&amp;$D212)</f>
      </c>
      <c r="I212" s="3">
        <f>IFERROR(VLOOKUP($A212,系統碼表!$A:$C,3,FALSE),"")</f>
      </c>
      <c r="J212" s="3">
        <f>IFERROR(VLOOKUP($A212,系統碼表!$A:$C,2,FALSE),"")</f>
      </c>
    </row>
    <row r="213" spans="1:19" x14ac:dyDescent="0.25">
      <c r="E213" s="3">
        <f>IF($A213="","",$A213&amp;"."&amp;$B213&amp;"."&amp;$C213&amp;"."&amp;$D213)</f>
      </c>
      <c r="I213" s="3">
        <f>IFERROR(VLOOKUP($A213,系統碼表!$A:$C,3,FALSE),"")</f>
      </c>
      <c r="J213" s="3">
        <f>IFERROR(VLOOKUP($A213,系統碼表!$A:$C,2,FALSE),"")</f>
      </c>
    </row>
    <row r="214" spans="1:19" x14ac:dyDescent="0.25">
      <c r="E214" s="3">
        <f>IF($A214="","",$A214&amp;"."&amp;$B214&amp;"."&amp;$C214&amp;"."&amp;$D214)</f>
      </c>
      <c r="I214" s="3">
        <f>IFERROR(VLOOKUP($A214,系統碼表!$A:$C,3,FALSE),"")</f>
      </c>
      <c r="J214" s="3">
        <f>IFERROR(VLOOKUP($A214,系統碼表!$A:$C,2,FALSE),"")</f>
      </c>
    </row>
    <row r="215" spans="1:19" x14ac:dyDescent="0.25">
      <c r="E215" s="3">
        <f>IF($A215="","",$A215&amp;"."&amp;$B215&amp;"."&amp;$C215&amp;"."&amp;$D215)</f>
      </c>
      <c r="I215" s="3">
        <f>IFERROR(VLOOKUP($A215,系統碼表!$A:$C,3,FALSE),"")</f>
      </c>
      <c r="J215" s="3">
        <f>IFERROR(VLOOKUP($A215,系統碼表!$A:$C,2,FALSE),"")</f>
      </c>
    </row>
    <row r="216" spans="1:19" x14ac:dyDescent="0.25">
      <c r="E216" s="3">
        <f>IF($A216="","",$A216&amp;"."&amp;$B216&amp;"."&amp;$C216&amp;"."&amp;$D216)</f>
      </c>
      <c r="I216" s="3">
        <f>IFERROR(VLOOKUP($A216,系統碼表!$A:$C,3,FALSE),"")</f>
      </c>
      <c r="J216" s="3">
        <f>IFERROR(VLOOKUP($A216,系統碼表!$A:$C,2,FALSE),"")</f>
      </c>
    </row>
    <row r="217" spans="1:19" x14ac:dyDescent="0.25">
      <c r="E217" s="3">
        <f>IF($A217="","",$A217&amp;"."&amp;$B217&amp;"."&amp;$C217&amp;"."&amp;$D217)</f>
      </c>
      <c r="I217" s="3">
        <f>IFERROR(VLOOKUP($A217,系統碼表!$A:$C,3,FALSE),"")</f>
      </c>
      <c r="J217" s="3">
        <f>IFERROR(VLOOKUP($A217,系統碼表!$A:$C,2,FALSE),"")</f>
      </c>
    </row>
    <row r="218" spans="1:19" x14ac:dyDescent="0.25">
      <c r="E218" s="3">
        <f>IF($A218="","",$A218&amp;"."&amp;$B218&amp;"."&amp;$C218&amp;"."&amp;$D218)</f>
      </c>
      <c r="I218" s="3">
        <f>IFERROR(VLOOKUP($A218,系統碼表!$A:$C,3,FALSE),"")</f>
      </c>
      <c r="J218" s="3">
        <f>IFERROR(VLOOKUP($A218,系統碼表!$A:$C,2,FALSE),"")</f>
      </c>
    </row>
    <row r="219" spans="1:19" x14ac:dyDescent="0.25">
      <c r="E219" s="3">
        <f>IF($A219="","",$A219&amp;"."&amp;$B219&amp;"."&amp;$C219&amp;"."&amp;$D219)</f>
      </c>
      <c r="I219" s="3">
        <f>IFERROR(VLOOKUP($A219,系統碼表!$A:$C,3,FALSE),"")</f>
      </c>
      <c r="J219" s="3">
        <f>IFERROR(VLOOKUP($A219,系統碼表!$A:$C,2,FALSE),"")</f>
      </c>
    </row>
    <row r="220" spans="1:19" x14ac:dyDescent="0.25">
      <c r="E220" s="3">
        <f>IF($A220="","",$A220&amp;"."&amp;$B220&amp;"."&amp;$C220&amp;"."&amp;$D220)</f>
      </c>
      <c r="I220" s="3">
        <f>IFERROR(VLOOKUP($A220,系統碼表!$A:$C,3,FALSE),"")</f>
      </c>
      <c r="J220" s="3">
        <f>IFERROR(VLOOKUP($A220,系統碼表!$A:$C,2,FALSE),"")</f>
      </c>
    </row>
    <row r="221" spans="1:19" x14ac:dyDescent="0.25">
      <c r="E221" s="3">
        <f>IF($A221="","",$A221&amp;"."&amp;$B221&amp;"."&amp;$C221&amp;"."&amp;$D221)</f>
      </c>
      <c r="I221" s="3">
        <f>IFERROR(VLOOKUP($A221,系統碼表!$A:$C,3,FALSE),"")</f>
      </c>
      <c r="J221" s="3">
        <f>IFERROR(VLOOKUP($A221,系統碼表!$A:$C,2,FALSE),"")</f>
      </c>
    </row>
    <row r="222" spans="1:19" x14ac:dyDescent="0.25">
      <c r="E222" s="3">
        <f>IF($A222="","",$A222&amp;"."&amp;$B222&amp;"."&amp;$C222&amp;"."&amp;$D222)</f>
      </c>
      <c r="I222" s="3">
        <f>IFERROR(VLOOKUP($A222,系統碼表!$A:$C,3,FALSE),"")</f>
      </c>
      <c r="J222" s="3">
        <f>IFERROR(VLOOKUP($A222,系統碼表!$A:$C,2,FALSE),"")</f>
      </c>
    </row>
    <row r="223" spans="1:19" x14ac:dyDescent="0.25">
      <c r="E223" s="3">
        <f>IF($A223="","",$A223&amp;"."&amp;$B223&amp;"."&amp;$C223&amp;"."&amp;$D223)</f>
      </c>
      <c r="I223" s="3">
        <f>IFERROR(VLOOKUP($A223,系統碼表!$A:$C,3,FALSE),"")</f>
      </c>
      <c r="J223" s="3">
        <f>IFERROR(VLOOKUP($A223,系統碼表!$A:$C,2,FALSE),"")</f>
      </c>
    </row>
    <row r="224" spans="1:19" x14ac:dyDescent="0.25">
      <c r="E224" s="3">
        <f>IF($A224="","",$A224&amp;"."&amp;$B224&amp;"."&amp;$C224&amp;"."&amp;$D224)</f>
      </c>
      <c r="I224" s="3">
        <f>IFERROR(VLOOKUP($A224,系統碼表!$A:$C,3,FALSE),"")</f>
      </c>
      <c r="J224" s="3">
        <f>IFERROR(VLOOKUP($A224,系統碼表!$A:$C,2,FALSE),"")</f>
      </c>
    </row>
    <row r="225" spans="1:19" x14ac:dyDescent="0.25">
      <c r="E225" s="3">
        <f>IF($A225="","",$A225&amp;"."&amp;$B225&amp;"."&amp;$C225&amp;"."&amp;$D225)</f>
      </c>
      <c r="I225" s="3">
        <f>IFERROR(VLOOKUP($A225,系統碼表!$A:$C,3,FALSE),"")</f>
      </c>
      <c r="J225" s="3">
        <f>IFERROR(VLOOKUP($A225,系統碼表!$A:$C,2,FALSE),"")</f>
      </c>
    </row>
    <row r="226" spans="1:19" x14ac:dyDescent="0.25">
      <c r="E226" s="3">
        <f>IF($A226="","",$A226&amp;"."&amp;$B226&amp;"."&amp;$C226&amp;"."&amp;$D226)</f>
      </c>
      <c r="I226" s="3">
        <f>IFERROR(VLOOKUP($A226,系統碼表!$A:$C,3,FALSE),"")</f>
      </c>
      <c r="J226" s="3">
        <f>IFERROR(VLOOKUP($A226,系統碼表!$A:$C,2,FALSE),"")</f>
      </c>
    </row>
    <row r="227" spans="1:19" x14ac:dyDescent="0.25">
      <c r="E227" s="3">
        <f>IF($A227="","",$A227&amp;"."&amp;$B227&amp;"."&amp;$C227&amp;"."&amp;$D227)</f>
      </c>
      <c r="I227" s="3">
        <f>IFERROR(VLOOKUP($A227,系統碼表!$A:$C,3,FALSE),"")</f>
      </c>
      <c r="J227" s="3">
        <f>IFERROR(VLOOKUP($A227,系統碼表!$A:$C,2,FALSE),"")</f>
      </c>
    </row>
    <row r="228" spans="1:19" x14ac:dyDescent="0.25">
      <c r="E228" s="3">
        <f>IF($A228="","",$A228&amp;"."&amp;$B228&amp;"."&amp;$C228&amp;"."&amp;$D228)</f>
      </c>
      <c r="I228" s="3">
        <f>IFERROR(VLOOKUP($A228,系統碼表!$A:$C,3,FALSE),"")</f>
      </c>
      <c r="J228" s="3">
        <f>IFERROR(VLOOKUP($A228,系統碼表!$A:$C,2,FALSE),"")</f>
      </c>
    </row>
    <row r="229" spans="1:19" x14ac:dyDescent="0.25">
      <c r="E229" s="3">
        <f>IF($A229="","",$A229&amp;"."&amp;$B229&amp;"."&amp;$C229&amp;"."&amp;$D229)</f>
      </c>
      <c r="I229" s="3">
        <f>IFERROR(VLOOKUP($A229,系統碼表!$A:$C,3,FALSE),"")</f>
      </c>
      <c r="J229" s="3">
        <f>IFERROR(VLOOKUP($A229,系統碼表!$A:$C,2,FALSE),"")</f>
      </c>
    </row>
    <row r="230" spans="1:19" x14ac:dyDescent="0.25">
      <c r="E230" s="3">
        <f>IF($A230="","",$A230&amp;"."&amp;$B230&amp;"."&amp;$C230&amp;"."&amp;$D230)</f>
      </c>
      <c r="I230" s="3">
        <f>IFERROR(VLOOKUP($A230,系統碼表!$A:$C,3,FALSE),"")</f>
      </c>
      <c r="J230" s="3">
        <f>IFERROR(VLOOKUP($A230,系統碼表!$A:$C,2,FALSE),"")</f>
      </c>
    </row>
    <row r="231" spans="1:19" x14ac:dyDescent="0.25">
      <c r="E231" s="3">
        <f>IF($A231="","",$A231&amp;"."&amp;$B231&amp;"."&amp;$C231&amp;"."&amp;$D231)</f>
      </c>
      <c r="I231" s="3">
        <f>IFERROR(VLOOKUP($A231,系統碼表!$A:$C,3,FALSE),"")</f>
      </c>
      <c r="J231" s="3">
        <f>IFERROR(VLOOKUP($A231,系統碼表!$A:$C,2,FALSE),"")</f>
      </c>
    </row>
    <row r="232" spans="1:19" x14ac:dyDescent="0.25">
      <c r="E232" s="3">
        <f>IF($A232="","",$A232&amp;"."&amp;$B232&amp;"."&amp;$C232&amp;"."&amp;$D232)</f>
      </c>
      <c r="I232" s="3">
        <f>IFERROR(VLOOKUP($A232,系統碼表!$A:$C,3,FALSE),"")</f>
      </c>
      <c r="J232" s="3">
        <f>IFERROR(VLOOKUP($A232,系統碼表!$A:$C,2,FALSE),"")</f>
      </c>
    </row>
    <row r="233" spans="1:19" x14ac:dyDescent="0.25">
      <c r="E233" s="3">
        <f>IF($A233="","",$A233&amp;"."&amp;$B233&amp;"."&amp;$C233&amp;"."&amp;$D233)</f>
      </c>
      <c r="I233" s="3">
        <f>IFERROR(VLOOKUP($A233,系統碼表!$A:$C,3,FALSE),"")</f>
      </c>
      <c r="J233" s="3">
        <f>IFERROR(VLOOKUP($A233,系統碼表!$A:$C,2,FALSE),"")</f>
      </c>
    </row>
    <row r="234" spans="1:19" x14ac:dyDescent="0.25">
      <c r="E234" s="3">
        <f>IF($A234="","",$A234&amp;"."&amp;$B234&amp;"."&amp;$C234&amp;"."&amp;$D234)</f>
      </c>
      <c r="I234" s="3">
        <f>IFERROR(VLOOKUP($A234,系統碼表!$A:$C,3,FALSE),"")</f>
      </c>
      <c r="J234" s="3">
        <f>IFERROR(VLOOKUP($A234,系統碼表!$A:$C,2,FALSE),"")</f>
      </c>
    </row>
    <row r="235" spans="1:19" x14ac:dyDescent="0.25">
      <c r="E235" s="3">
        <f>IF($A235="","",$A235&amp;"."&amp;$B235&amp;"."&amp;$C235&amp;"."&amp;$D235)</f>
      </c>
      <c r="I235" s="3">
        <f>IFERROR(VLOOKUP($A235,系統碼表!$A:$C,3,FALSE),"")</f>
      </c>
      <c r="J235" s="3">
        <f>IFERROR(VLOOKUP($A235,系統碼表!$A:$C,2,FALSE),"")</f>
      </c>
    </row>
    <row r="236" spans="1:19" x14ac:dyDescent="0.25">
      <c r="E236" s="3">
        <f>IF($A236="","",$A236&amp;"."&amp;$B236&amp;"."&amp;$C236&amp;"."&amp;$D236)</f>
      </c>
      <c r="I236" s="3">
        <f>IFERROR(VLOOKUP($A236,系統碼表!$A:$C,3,FALSE),"")</f>
      </c>
      <c r="J236" s="3">
        <f>IFERROR(VLOOKUP($A236,系統碼表!$A:$C,2,FALSE),"")</f>
      </c>
    </row>
    <row r="237" spans="1:19" x14ac:dyDescent="0.25">
      <c r="E237" s="3">
        <f>IF($A237="","",$A237&amp;"."&amp;$B237&amp;"."&amp;$C237&amp;"."&amp;$D237)</f>
      </c>
      <c r="I237" s="3">
        <f>IFERROR(VLOOKUP($A237,系統碼表!$A:$C,3,FALSE),"")</f>
      </c>
      <c r="J237" s="3">
        <f>IFERROR(VLOOKUP($A237,系統碼表!$A:$C,2,FALSE),"")</f>
      </c>
    </row>
    <row r="238" spans="1:19" x14ac:dyDescent="0.25">
      <c r="E238" s="3">
        <f>IF($A238="","",$A238&amp;"."&amp;$B238&amp;"."&amp;$C238&amp;"."&amp;$D238)</f>
      </c>
      <c r="I238" s="3">
        <f>IFERROR(VLOOKUP($A238,系統碼表!$A:$C,3,FALSE),"")</f>
      </c>
      <c r="J238" s="3">
        <f>IFERROR(VLOOKUP($A238,系統碼表!$A:$C,2,FALSE),"")</f>
      </c>
    </row>
    <row r="239" spans="1:19" x14ac:dyDescent="0.25">
      <c r="E239" s="3">
        <f>IF($A239="","",$A239&amp;"."&amp;$B239&amp;"."&amp;$C239&amp;"."&amp;$D239)</f>
      </c>
      <c r="I239" s="3">
        <f>IFERROR(VLOOKUP($A239,系統碼表!$A:$C,3,FALSE),"")</f>
      </c>
      <c r="J239" s="3">
        <f>IFERROR(VLOOKUP($A239,系統碼表!$A:$C,2,FALSE),"")</f>
      </c>
    </row>
    <row r="240" spans="1:19" x14ac:dyDescent="0.25">
      <c r="E240" s="3">
        <f>IF($A240="","",$A240&amp;"."&amp;$B240&amp;"."&amp;$C240&amp;"."&amp;$D240)</f>
      </c>
      <c r="I240" s="3">
        <f>IFERROR(VLOOKUP($A240,系統碼表!$A:$C,3,FALSE),"")</f>
      </c>
      <c r="J240" s="3">
        <f>IFERROR(VLOOKUP($A240,系統碼表!$A:$C,2,FALSE),"")</f>
      </c>
    </row>
    <row r="241" spans="1:19" x14ac:dyDescent="0.25">
      <c r="E241" s="3">
        <f>IF($A241="","",$A241&amp;"."&amp;$B241&amp;"."&amp;$C241&amp;"."&amp;$D241)</f>
      </c>
      <c r="I241" s="3">
        <f>IFERROR(VLOOKUP($A241,系統碼表!$A:$C,3,FALSE),"")</f>
      </c>
      <c r="J241" s="3">
        <f>IFERROR(VLOOKUP($A241,系統碼表!$A:$C,2,FALSE),"")</f>
      </c>
    </row>
    <row r="242" spans="1:19" x14ac:dyDescent="0.25">
      <c r="E242" s="3">
        <f>IF($A242="","",$A242&amp;"."&amp;$B242&amp;"."&amp;$C242&amp;"."&amp;$D242)</f>
      </c>
      <c r="I242" s="3">
        <f>IFERROR(VLOOKUP($A242,系統碼表!$A:$C,3,FALSE),"")</f>
      </c>
      <c r="J242" s="3">
        <f>IFERROR(VLOOKUP($A242,系統碼表!$A:$C,2,FALSE),"")</f>
      </c>
    </row>
    <row r="243" spans="1:19" x14ac:dyDescent="0.25">
      <c r="E243" s="3">
        <f>IF($A243="","",$A243&amp;"."&amp;$B243&amp;"."&amp;$C243&amp;"."&amp;$D243)</f>
      </c>
      <c r="I243" s="3">
        <f>IFERROR(VLOOKUP($A243,系統碼表!$A:$C,3,FALSE),"")</f>
      </c>
      <c r="J243" s="3">
        <f>IFERROR(VLOOKUP($A243,系統碼表!$A:$C,2,FALSE),"")</f>
      </c>
    </row>
    <row r="244" spans="1:19" x14ac:dyDescent="0.25">
      <c r="E244" s="3">
        <f>IF($A244="","",$A244&amp;"."&amp;$B244&amp;"."&amp;$C244&amp;"."&amp;$D244)</f>
      </c>
      <c r="I244" s="3">
        <f>IFERROR(VLOOKUP($A244,系統碼表!$A:$C,3,FALSE),"")</f>
      </c>
      <c r="J244" s="3">
        <f>IFERROR(VLOOKUP($A244,系統碼表!$A:$C,2,FALSE),"")</f>
      </c>
    </row>
    <row r="245" spans="1:19" x14ac:dyDescent="0.25">
      <c r="E245" s="3">
        <f>IF($A245="","",$A245&amp;"."&amp;$B245&amp;"."&amp;$C245&amp;"."&amp;$D245)</f>
      </c>
      <c r="I245" s="3">
        <f>IFERROR(VLOOKUP($A245,系統碼表!$A:$C,3,FALSE),"")</f>
      </c>
      <c r="J245" s="3">
        <f>IFERROR(VLOOKUP($A245,系統碼表!$A:$C,2,FALSE),"")</f>
      </c>
    </row>
    <row r="246" spans="1:19" x14ac:dyDescent="0.25">
      <c r="E246" s="3">
        <f>IF($A246="","",$A246&amp;"."&amp;$B246&amp;"."&amp;$C246&amp;"."&amp;$D246)</f>
      </c>
      <c r="I246" s="3">
        <f>IFERROR(VLOOKUP($A246,系統碼表!$A:$C,3,FALSE),"")</f>
      </c>
      <c r="J246" s="3">
        <f>IFERROR(VLOOKUP($A246,系統碼表!$A:$C,2,FALSE),"")</f>
      </c>
    </row>
    <row r="247" spans="1:19" x14ac:dyDescent="0.25">
      <c r="E247" s="3">
        <f>IF($A247="","",$A247&amp;"."&amp;$B247&amp;"."&amp;$C247&amp;"."&amp;$D247)</f>
      </c>
      <c r="I247" s="3">
        <f>IFERROR(VLOOKUP($A247,系統碼表!$A:$C,3,FALSE),"")</f>
      </c>
      <c r="J247" s="3">
        <f>IFERROR(VLOOKUP($A247,系統碼表!$A:$C,2,FALSE),"")</f>
      </c>
    </row>
    <row r="248" spans="1:19" x14ac:dyDescent="0.25">
      <c r="E248" s="3">
        <f>IF($A248="","",$A248&amp;"."&amp;$B248&amp;"."&amp;$C248&amp;"."&amp;$D248)</f>
      </c>
      <c r="I248" s="3">
        <f>IFERROR(VLOOKUP($A248,系統碼表!$A:$C,3,FALSE),"")</f>
      </c>
      <c r="J248" s="3">
        <f>IFERROR(VLOOKUP($A248,系統碼表!$A:$C,2,FALSE),"")</f>
      </c>
    </row>
    <row r="249" spans="1:19" x14ac:dyDescent="0.25">
      <c r="E249" s="3">
        <f>IF($A249="","",$A249&amp;"."&amp;$B249&amp;"."&amp;$C249&amp;"."&amp;$D249)</f>
      </c>
      <c r="I249" s="3">
        <f>IFERROR(VLOOKUP($A249,系統碼表!$A:$C,3,FALSE),"")</f>
      </c>
      <c r="J249" s="3">
        <f>IFERROR(VLOOKUP($A249,系統碼表!$A:$C,2,FALSE),"")</f>
      </c>
    </row>
    <row r="250" spans="1:19" x14ac:dyDescent="0.25">
      <c r="E250" s="3">
        <f>IF($A250="","",$A250&amp;"."&amp;$B250&amp;"."&amp;$C250&amp;"."&amp;$D250)</f>
      </c>
      <c r="I250" s="3">
        <f>IFERROR(VLOOKUP($A250,系統碼表!$A:$C,3,FALSE),"")</f>
      </c>
      <c r="J250" s="3">
        <f>IFERROR(VLOOKUP($A250,系統碼表!$A:$C,2,FALSE),"")</f>
      </c>
    </row>
    <row r="251" spans="1:19" x14ac:dyDescent="0.25">
      <c r="E251" s="3">
        <f>IF($A251="","",$A251&amp;"."&amp;$B251&amp;"."&amp;$C251&amp;"."&amp;$D251)</f>
      </c>
      <c r="I251" s="3">
        <f>IFERROR(VLOOKUP($A251,系統碼表!$A:$C,3,FALSE),"")</f>
      </c>
      <c r="J251" s="3">
        <f>IFERROR(VLOOKUP($A251,系統碼表!$A:$C,2,FALSE),"")</f>
      </c>
    </row>
    <row r="252" spans="1:19" x14ac:dyDescent="0.25">
      <c r="E252" s="3">
        <f>IF($A252="","",$A252&amp;"."&amp;$B252&amp;"."&amp;$C252&amp;"."&amp;$D252)</f>
      </c>
      <c r="I252" s="3">
        <f>IFERROR(VLOOKUP($A252,系統碼表!$A:$C,3,FALSE),"")</f>
      </c>
      <c r="J252" s="3">
        <f>IFERROR(VLOOKUP($A252,系統碼表!$A:$C,2,FALSE),"")</f>
      </c>
    </row>
    <row r="253" spans="1:19" x14ac:dyDescent="0.25">
      <c r="E253" s="3">
        <f>IF($A253="","",$A253&amp;"."&amp;$B253&amp;"."&amp;$C253&amp;"."&amp;$D253)</f>
      </c>
      <c r="I253" s="3">
        <f>IFERROR(VLOOKUP($A253,系統碼表!$A:$C,3,FALSE),"")</f>
      </c>
      <c r="J253" s="3">
        <f>IFERROR(VLOOKUP($A253,系統碼表!$A:$C,2,FALSE),"")</f>
      </c>
    </row>
    <row r="254" spans="1:19" x14ac:dyDescent="0.25">
      <c r="E254" s="3">
        <f>IF($A254="","",$A254&amp;"."&amp;$B254&amp;"."&amp;$C254&amp;"."&amp;$D254)</f>
      </c>
      <c r="I254" s="3">
        <f>IFERROR(VLOOKUP($A254,系統碼表!$A:$C,3,FALSE),"")</f>
      </c>
      <c r="J254" s="3">
        <f>IFERROR(VLOOKUP($A254,系統碼表!$A:$C,2,FALSE),"")</f>
      </c>
    </row>
    <row r="255" spans="1:19" x14ac:dyDescent="0.25">
      <c r="E255" s="3">
        <f>IF($A255="","",$A255&amp;"."&amp;$B255&amp;"."&amp;$C255&amp;"."&amp;$D255)</f>
      </c>
      <c r="I255" s="3">
        <f>IFERROR(VLOOKUP($A255,系統碼表!$A:$C,3,FALSE),"")</f>
      </c>
      <c r="J255" s="3">
        <f>IFERROR(VLOOKUP($A255,系統碼表!$A:$C,2,FALSE),"")</f>
      </c>
    </row>
    <row r="256" spans="1:19" x14ac:dyDescent="0.25">
      <c r="E256" s="3">
        <f>IF($A256="","",$A256&amp;"."&amp;$B256&amp;"."&amp;$C256&amp;"."&amp;$D256)</f>
      </c>
      <c r="I256" s="3">
        <f>IFERROR(VLOOKUP($A256,系統碼表!$A:$C,3,FALSE),"")</f>
      </c>
      <c r="J256" s="3">
        <f>IFERROR(VLOOKUP($A256,系統碼表!$A:$C,2,FALSE),"")</f>
      </c>
    </row>
    <row r="257" spans="1:19" x14ac:dyDescent="0.25">
      <c r="E257" s="3">
        <f>IF($A257="","",$A257&amp;"."&amp;$B257&amp;"."&amp;$C257&amp;"."&amp;$D257)</f>
      </c>
      <c r="I257" s="3">
        <f>IFERROR(VLOOKUP($A257,系統碼表!$A:$C,3,FALSE),"")</f>
      </c>
      <c r="J257" s="3">
        <f>IFERROR(VLOOKUP($A257,系統碼表!$A:$C,2,FALSE),"")</f>
      </c>
    </row>
    <row r="258" spans="1:19" x14ac:dyDescent="0.25">
      <c r="E258" s="3">
        <f>IF($A258="","",$A258&amp;"."&amp;$B258&amp;"."&amp;$C258&amp;"."&amp;$D258)</f>
      </c>
      <c r="I258" s="3">
        <f>IFERROR(VLOOKUP($A258,系統碼表!$A:$C,3,FALSE),"")</f>
      </c>
      <c r="J258" s="3">
        <f>IFERROR(VLOOKUP($A258,系統碼表!$A:$C,2,FALSE),"")</f>
      </c>
    </row>
    <row r="259" spans="1:19" x14ac:dyDescent="0.25">
      <c r="E259" s="3">
        <f>IF($A259="","",$A259&amp;"."&amp;$B259&amp;"."&amp;$C259&amp;"."&amp;$D259)</f>
      </c>
      <c r="I259" s="3">
        <f>IFERROR(VLOOKUP($A259,系統碼表!$A:$C,3,FALSE),"")</f>
      </c>
      <c r="J259" s="3">
        <f>IFERROR(VLOOKUP($A259,系統碼表!$A:$C,2,FALSE),"")</f>
      </c>
    </row>
    <row r="260" spans="1:19" x14ac:dyDescent="0.25">
      <c r="E260" s="3">
        <f>IF($A260="","",$A260&amp;"."&amp;$B260&amp;"."&amp;$C260&amp;"."&amp;$D260)</f>
      </c>
      <c r="I260" s="3">
        <f>IFERROR(VLOOKUP($A260,系統碼表!$A:$C,3,FALSE),"")</f>
      </c>
      <c r="J260" s="3">
        <f>IFERROR(VLOOKUP($A260,系統碼表!$A:$C,2,FALSE),"")</f>
      </c>
    </row>
    <row r="261" spans="1:19" x14ac:dyDescent="0.25">
      <c r="E261" s="3">
        <f>IF($A261="","",$A261&amp;"."&amp;$B261&amp;"."&amp;$C261&amp;"."&amp;$D261)</f>
      </c>
      <c r="I261" s="3">
        <f>IFERROR(VLOOKUP($A261,系統碼表!$A:$C,3,FALSE),"")</f>
      </c>
      <c r="J261" s="3">
        <f>IFERROR(VLOOKUP($A261,系統碼表!$A:$C,2,FALSE),"")</f>
      </c>
    </row>
    <row r="262" spans="1:19" x14ac:dyDescent="0.25">
      <c r="E262" s="3">
        <f>IF($A262="","",$A262&amp;"."&amp;$B262&amp;"."&amp;$C262&amp;"."&amp;$D262)</f>
      </c>
      <c r="I262" s="3">
        <f>IFERROR(VLOOKUP($A262,系統碼表!$A:$C,3,FALSE),"")</f>
      </c>
      <c r="J262" s="3">
        <f>IFERROR(VLOOKUP($A262,系統碼表!$A:$C,2,FALSE),"")</f>
      </c>
    </row>
    <row r="263" spans="1:19" x14ac:dyDescent="0.25">
      <c r="E263" s="3">
        <f>IF($A263="","",$A263&amp;"."&amp;$B263&amp;"."&amp;$C263&amp;"."&amp;$D263)</f>
      </c>
      <c r="I263" s="3">
        <f>IFERROR(VLOOKUP($A263,系統碼表!$A:$C,3,FALSE),"")</f>
      </c>
      <c r="J263" s="3">
        <f>IFERROR(VLOOKUP($A263,系統碼表!$A:$C,2,FALSE),"")</f>
      </c>
    </row>
    <row r="264" spans="1:19" x14ac:dyDescent="0.25">
      <c r="E264" s="3">
        <f>IF($A264="","",$A264&amp;"."&amp;$B264&amp;"."&amp;$C264&amp;"."&amp;$D264)</f>
      </c>
      <c r="I264" s="3">
        <f>IFERROR(VLOOKUP($A264,系統碼表!$A:$C,3,FALSE),"")</f>
      </c>
      <c r="J264" s="3">
        <f>IFERROR(VLOOKUP($A264,系統碼表!$A:$C,2,FALSE),"")</f>
      </c>
    </row>
    <row r="265" spans="1:19" x14ac:dyDescent="0.25">
      <c r="E265" s="3">
        <f>IF($A265="","",$A265&amp;"."&amp;$B265&amp;"."&amp;$C265&amp;"."&amp;$D265)</f>
      </c>
      <c r="I265" s="3">
        <f>IFERROR(VLOOKUP($A265,系統碼表!$A:$C,3,FALSE),"")</f>
      </c>
      <c r="J265" s="3">
        <f>IFERROR(VLOOKUP($A265,系統碼表!$A:$C,2,FALSE),"")</f>
      </c>
    </row>
    <row r="266" spans="1:19" x14ac:dyDescent="0.25">
      <c r="E266" s="3">
        <f>IF($A266="","",$A266&amp;"."&amp;$B266&amp;"."&amp;$C266&amp;"."&amp;$D266)</f>
      </c>
      <c r="I266" s="3">
        <f>IFERROR(VLOOKUP($A266,系統碼表!$A:$C,3,FALSE),"")</f>
      </c>
      <c r="J266" s="3">
        <f>IFERROR(VLOOKUP($A266,系統碼表!$A:$C,2,FALSE),"")</f>
      </c>
    </row>
    <row r="267" spans="1:19" x14ac:dyDescent="0.25">
      <c r="E267" s="3">
        <f>IF($A267="","",$A267&amp;"."&amp;$B267&amp;"."&amp;$C267&amp;"."&amp;$D267)</f>
      </c>
      <c r="I267" s="3">
        <f>IFERROR(VLOOKUP($A267,系統碼表!$A:$C,3,FALSE),"")</f>
      </c>
      <c r="J267" s="3">
        <f>IFERROR(VLOOKUP($A267,系統碼表!$A:$C,2,FALSE),"")</f>
      </c>
    </row>
    <row r="268" spans="1:19" x14ac:dyDescent="0.25">
      <c r="E268" s="3">
        <f>IF($A268="","",$A268&amp;"."&amp;$B268&amp;"."&amp;$C268&amp;"."&amp;$D268)</f>
      </c>
      <c r="I268" s="3">
        <f>IFERROR(VLOOKUP($A268,系統碼表!$A:$C,3,FALSE),"")</f>
      </c>
      <c r="J268" s="3">
        <f>IFERROR(VLOOKUP($A268,系統碼表!$A:$C,2,FALSE),"")</f>
      </c>
    </row>
    <row r="269" spans="1:19" x14ac:dyDescent="0.25">
      <c r="E269" s="3">
        <f>IF($A269="","",$A269&amp;"."&amp;$B269&amp;"."&amp;$C269&amp;"."&amp;$D269)</f>
      </c>
      <c r="I269" s="3">
        <f>IFERROR(VLOOKUP($A269,系統碼表!$A:$C,3,FALSE),"")</f>
      </c>
      <c r="J269" s="3">
        <f>IFERROR(VLOOKUP($A269,系統碼表!$A:$C,2,FALSE),"")</f>
      </c>
    </row>
    <row r="270" spans="1:19" x14ac:dyDescent="0.25">
      <c r="E270" s="3">
        <f>IF($A270="","",$A270&amp;"."&amp;$B270&amp;"."&amp;$C270&amp;"."&amp;$D270)</f>
      </c>
      <c r="I270" s="3">
        <f>IFERROR(VLOOKUP($A270,系統碼表!$A:$C,3,FALSE),"")</f>
      </c>
      <c r="J270" s="3">
        <f>IFERROR(VLOOKUP($A270,系統碼表!$A:$C,2,FALSE),"")</f>
      </c>
    </row>
    <row r="271" spans="1:19" x14ac:dyDescent="0.25">
      <c r="E271" s="3">
        <f>IF($A271="","",$A271&amp;"."&amp;$B271&amp;"."&amp;$C271&amp;"."&amp;$D271)</f>
      </c>
      <c r="I271" s="3">
        <f>IFERROR(VLOOKUP($A271,系統碼表!$A:$C,3,FALSE),"")</f>
      </c>
      <c r="J271" s="3">
        <f>IFERROR(VLOOKUP($A271,系統碼表!$A:$C,2,FALSE),"")</f>
      </c>
    </row>
    <row r="272" spans="1:19" x14ac:dyDescent="0.25">
      <c r="E272" s="3">
        <f>IF($A272="","",$A272&amp;"."&amp;$B272&amp;"."&amp;$C272&amp;"."&amp;$D272)</f>
      </c>
      <c r="I272" s="3">
        <f>IFERROR(VLOOKUP($A272,系統碼表!$A:$C,3,FALSE),"")</f>
      </c>
      <c r="J272" s="3">
        <f>IFERROR(VLOOKUP($A272,系統碼表!$A:$C,2,FALSE),"")</f>
      </c>
    </row>
    <row r="273" spans="1:19" x14ac:dyDescent="0.25">
      <c r="E273" s="3">
        <f>IF($A273="","",$A273&amp;"."&amp;$B273&amp;"."&amp;$C273&amp;"."&amp;$D273)</f>
      </c>
      <c r="I273" s="3">
        <f>IFERROR(VLOOKUP($A273,系統碼表!$A:$C,3,FALSE),"")</f>
      </c>
      <c r="J273" s="3">
        <f>IFERROR(VLOOKUP($A273,系統碼表!$A:$C,2,FALSE),"")</f>
      </c>
    </row>
    <row r="274" spans="1:19" x14ac:dyDescent="0.25">
      <c r="E274" s="3">
        <f>IF($A274="","",$A274&amp;"."&amp;$B274&amp;"."&amp;$C274&amp;"."&amp;$D274)</f>
      </c>
      <c r="I274" s="3">
        <f>IFERROR(VLOOKUP($A274,系統碼表!$A:$C,3,FALSE),"")</f>
      </c>
      <c r="J274" s="3">
        <f>IFERROR(VLOOKUP($A274,系統碼表!$A:$C,2,FALSE),"")</f>
      </c>
    </row>
    <row r="275" spans="1:19" x14ac:dyDescent="0.25">
      <c r="E275" s="3">
        <f>IF($A275="","",$A275&amp;"."&amp;$B275&amp;"."&amp;$C275&amp;"."&amp;$D275)</f>
      </c>
      <c r="I275" s="3">
        <f>IFERROR(VLOOKUP($A275,系統碼表!$A:$C,3,FALSE),"")</f>
      </c>
      <c r="J275" s="3">
        <f>IFERROR(VLOOKUP($A275,系統碼表!$A:$C,2,FALSE),"")</f>
      </c>
    </row>
    <row r="276" spans="1:19" x14ac:dyDescent="0.25">
      <c r="E276" s="3">
        <f>IF($A276="","",$A276&amp;"."&amp;$B276&amp;"."&amp;$C276&amp;"."&amp;$D276)</f>
      </c>
      <c r="I276" s="3">
        <f>IFERROR(VLOOKUP($A276,系統碼表!$A:$C,3,FALSE),"")</f>
      </c>
      <c r="J276" s="3">
        <f>IFERROR(VLOOKUP($A276,系統碼表!$A:$C,2,FALSE),"")</f>
      </c>
    </row>
    <row r="277" spans="1:19" x14ac:dyDescent="0.25">
      <c r="E277" s="3">
        <f>IF($A277="","",$A277&amp;"."&amp;$B277&amp;"."&amp;$C277&amp;"."&amp;$D277)</f>
      </c>
      <c r="I277" s="3">
        <f>IFERROR(VLOOKUP($A277,系統碼表!$A:$C,3,FALSE),"")</f>
      </c>
      <c r="J277" s="3">
        <f>IFERROR(VLOOKUP($A277,系統碼表!$A:$C,2,FALSE),"")</f>
      </c>
    </row>
    <row r="278" spans="1:19" x14ac:dyDescent="0.25">
      <c r="E278" s="3">
        <f>IF($A278="","",$A278&amp;"."&amp;$B278&amp;"."&amp;$C278&amp;"."&amp;$D278)</f>
      </c>
      <c r="I278" s="3">
        <f>IFERROR(VLOOKUP($A278,系統碼表!$A:$C,3,FALSE),"")</f>
      </c>
      <c r="J278" s="3">
        <f>IFERROR(VLOOKUP($A278,系統碼表!$A:$C,2,FALSE),"")</f>
      </c>
    </row>
    <row r="279" spans="1:19" x14ac:dyDescent="0.25">
      <c r="E279" s="3">
        <f>IF($A279="","",$A279&amp;"."&amp;$B279&amp;"."&amp;$C279&amp;"."&amp;$D279)</f>
      </c>
      <c r="I279" s="3">
        <f>IFERROR(VLOOKUP($A279,系統碼表!$A:$C,3,FALSE),"")</f>
      </c>
      <c r="J279" s="3">
        <f>IFERROR(VLOOKUP($A279,系統碼表!$A:$C,2,FALSE),"")</f>
      </c>
    </row>
    <row r="280" spans="1:19" x14ac:dyDescent="0.25">
      <c r="E280" s="3">
        <f>IF($A280="","",$A280&amp;"."&amp;$B280&amp;"."&amp;$C280&amp;"."&amp;$D280)</f>
      </c>
      <c r="I280" s="3">
        <f>IFERROR(VLOOKUP($A280,系統碼表!$A:$C,3,FALSE),"")</f>
      </c>
      <c r="J280" s="3">
        <f>IFERROR(VLOOKUP($A280,系統碼表!$A:$C,2,FALSE),"")</f>
      </c>
    </row>
    <row r="281" spans="1:19" x14ac:dyDescent="0.25">
      <c r="E281" s="3">
        <f>IF($A281="","",$A281&amp;"."&amp;$B281&amp;"."&amp;$C281&amp;"."&amp;$D281)</f>
      </c>
      <c r="I281" s="3">
        <f>IFERROR(VLOOKUP($A281,系統碼表!$A:$C,3,FALSE),"")</f>
      </c>
      <c r="J281" s="3">
        <f>IFERROR(VLOOKUP($A281,系統碼表!$A:$C,2,FALSE),"")</f>
      </c>
    </row>
    <row r="282" spans="1:19" x14ac:dyDescent="0.25">
      <c r="E282" s="3">
        <f>IF($A282="","",$A282&amp;"."&amp;$B282&amp;"."&amp;$C282&amp;"."&amp;$D282)</f>
      </c>
      <c r="I282" s="3">
        <f>IFERROR(VLOOKUP($A282,系統碼表!$A:$C,3,FALSE),"")</f>
      </c>
      <c r="J282" s="3">
        <f>IFERROR(VLOOKUP($A282,系統碼表!$A:$C,2,FALSE),"")</f>
      </c>
    </row>
    <row r="283" spans="1:19" x14ac:dyDescent="0.25">
      <c r="E283" s="3">
        <f>IF($A283="","",$A283&amp;"."&amp;$B283&amp;"."&amp;$C283&amp;"."&amp;$D283)</f>
      </c>
      <c r="I283" s="3">
        <f>IFERROR(VLOOKUP($A283,系統碼表!$A:$C,3,FALSE),"")</f>
      </c>
      <c r="J283" s="3">
        <f>IFERROR(VLOOKUP($A283,系統碼表!$A:$C,2,FALSE),"")</f>
      </c>
    </row>
    <row r="284" spans="1:19" x14ac:dyDescent="0.25">
      <c r="E284" s="3">
        <f>IF($A284="","",$A284&amp;"."&amp;$B284&amp;"."&amp;$C284&amp;"."&amp;$D284)</f>
      </c>
      <c r="I284" s="3">
        <f>IFERROR(VLOOKUP($A284,系統碼表!$A:$C,3,FALSE),"")</f>
      </c>
      <c r="J284" s="3">
        <f>IFERROR(VLOOKUP($A284,系統碼表!$A:$C,2,FALSE),"")</f>
      </c>
    </row>
    <row r="285" spans="1:19" x14ac:dyDescent="0.25">
      <c r="E285" s="3">
        <f>IF($A285="","",$A285&amp;"."&amp;$B285&amp;"."&amp;$C285&amp;"."&amp;$D285)</f>
      </c>
      <c r="I285" s="3">
        <f>IFERROR(VLOOKUP($A285,系統碼表!$A:$C,3,FALSE),"")</f>
      </c>
      <c r="J285" s="3">
        <f>IFERROR(VLOOKUP($A285,系統碼表!$A:$C,2,FALSE),"")</f>
      </c>
    </row>
    <row r="286" spans="1:19" x14ac:dyDescent="0.25">
      <c r="E286" s="3">
        <f>IF($A286="","",$A286&amp;"."&amp;$B286&amp;"."&amp;$C286&amp;"."&amp;$D286)</f>
      </c>
      <c r="I286" s="3">
        <f>IFERROR(VLOOKUP($A286,系統碼表!$A:$C,3,FALSE),"")</f>
      </c>
      <c r="J286" s="3">
        <f>IFERROR(VLOOKUP($A286,系統碼表!$A:$C,2,FALSE),"")</f>
      </c>
    </row>
    <row r="287" spans="1:19" x14ac:dyDescent="0.25">
      <c r="E287" s="3">
        <f>IF($A287="","",$A287&amp;"."&amp;$B287&amp;"."&amp;$C287&amp;"."&amp;$D287)</f>
      </c>
      <c r="I287" s="3">
        <f>IFERROR(VLOOKUP($A287,系統碼表!$A:$C,3,FALSE),"")</f>
      </c>
      <c r="J287" s="3">
        <f>IFERROR(VLOOKUP($A287,系統碼表!$A:$C,2,FALSE),"")</f>
      </c>
    </row>
    <row r="288" spans="1:19" x14ac:dyDescent="0.25">
      <c r="E288" s="3">
        <f>IF($A288="","",$A288&amp;"."&amp;$B288&amp;"."&amp;$C288&amp;"."&amp;$D288)</f>
      </c>
      <c r="I288" s="3">
        <f>IFERROR(VLOOKUP($A288,系統碼表!$A:$C,3,FALSE),"")</f>
      </c>
      <c r="J288" s="3">
        <f>IFERROR(VLOOKUP($A288,系統碼表!$A:$C,2,FALSE),"")</f>
      </c>
    </row>
    <row r="289" spans="1:19" x14ac:dyDescent="0.25">
      <c r="E289" s="3">
        <f>IF($A289="","",$A289&amp;"."&amp;$B289&amp;"."&amp;$C289&amp;"."&amp;$D289)</f>
      </c>
      <c r="I289" s="3">
        <f>IFERROR(VLOOKUP($A289,系統碼表!$A:$C,3,FALSE),"")</f>
      </c>
      <c r="J289" s="3">
        <f>IFERROR(VLOOKUP($A289,系統碼表!$A:$C,2,FALSE),"")</f>
      </c>
    </row>
    <row r="290" spans="1:19" x14ac:dyDescent="0.25">
      <c r="E290" s="3">
        <f>IF($A290="","",$A290&amp;"."&amp;$B290&amp;"."&amp;$C290&amp;"."&amp;$D290)</f>
      </c>
      <c r="I290" s="3">
        <f>IFERROR(VLOOKUP($A290,系統碼表!$A:$C,3,FALSE),"")</f>
      </c>
      <c r="J290" s="3">
        <f>IFERROR(VLOOKUP($A290,系統碼表!$A:$C,2,FALSE),"")</f>
      </c>
    </row>
    <row r="291" spans="1:19" x14ac:dyDescent="0.25">
      <c r="E291" s="3">
        <f>IF($A291="","",$A291&amp;"."&amp;$B291&amp;"."&amp;$C291&amp;"."&amp;$D291)</f>
      </c>
      <c r="I291" s="3">
        <f>IFERROR(VLOOKUP($A291,系統碼表!$A:$C,3,FALSE),"")</f>
      </c>
      <c r="J291" s="3">
        <f>IFERROR(VLOOKUP($A291,系統碼表!$A:$C,2,FALSE),"")</f>
      </c>
    </row>
    <row r="292" spans="1:19" x14ac:dyDescent="0.25">
      <c r="E292" s="3">
        <f>IF($A292="","",$A292&amp;"."&amp;$B292&amp;"."&amp;$C292&amp;"."&amp;$D292)</f>
      </c>
      <c r="I292" s="3">
        <f>IFERROR(VLOOKUP($A292,系統碼表!$A:$C,3,FALSE),"")</f>
      </c>
      <c r="J292" s="3">
        <f>IFERROR(VLOOKUP($A292,系統碼表!$A:$C,2,FALSE),"")</f>
      </c>
    </row>
    <row r="293" spans="1:19" x14ac:dyDescent="0.25">
      <c r="E293" s="3">
        <f>IF($A293="","",$A293&amp;"."&amp;$B293&amp;"."&amp;$C293&amp;"."&amp;$D293)</f>
      </c>
      <c r="I293" s="3">
        <f>IFERROR(VLOOKUP($A293,系統碼表!$A:$C,3,FALSE),"")</f>
      </c>
      <c r="J293" s="3">
        <f>IFERROR(VLOOKUP($A293,系統碼表!$A:$C,2,FALSE),"")</f>
      </c>
    </row>
    <row r="294" spans="1:19" x14ac:dyDescent="0.25">
      <c r="E294" s="3">
        <f>IF($A294="","",$A294&amp;"."&amp;$B294&amp;"."&amp;$C294&amp;"."&amp;$D294)</f>
      </c>
      <c r="I294" s="3">
        <f>IFERROR(VLOOKUP($A294,系統碼表!$A:$C,3,FALSE),"")</f>
      </c>
      <c r="J294" s="3">
        <f>IFERROR(VLOOKUP($A294,系統碼表!$A:$C,2,FALSE),"")</f>
      </c>
    </row>
    <row r="295" spans="1:19" x14ac:dyDescent="0.25">
      <c r="E295" s="3">
        <f>IF($A295="","",$A295&amp;"."&amp;$B295&amp;"."&amp;$C295&amp;"."&amp;$D295)</f>
      </c>
      <c r="I295" s="3">
        <f>IFERROR(VLOOKUP($A295,系統碼表!$A:$C,3,FALSE),"")</f>
      </c>
      <c r="J295" s="3">
        <f>IFERROR(VLOOKUP($A295,系統碼表!$A:$C,2,FALSE),"")</f>
      </c>
    </row>
    <row r="296" spans="1:19" x14ac:dyDescent="0.25">
      <c r="E296" s="3">
        <f>IF($A296="","",$A296&amp;"."&amp;$B296&amp;"."&amp;$C296&amp;"."&amp;$D296)</f>
      </c>
      <c r="I296" s="3">
        <f>IFERROR(VLOOKUP($A296,系統碼表!$A:$C,3,FALSE),"")</f>
      </c>
      <c r="J296" s="3">
        <f>IFERROR(VLOOKUP($A296,系統碼表!$A:$C,2,FALSE),"")</f>
      </c>
    </row>
    <row r="297" spans="1:19" x14ac:dyDescent="0.25">
      <c r="E297" s="3">
        <f>IF($A297="","",$A297&amp;"."&amp;$B297&amp;"."&amp;$C297&amp;"."&amp;$D297)</f>
      </c>
      <c r="I297" s="3">
        <f>IFERROR(VLOOKUP($A297,系統碼表!$A:$C,3,FALSE),"")</f>
      </c>
      <c r="J297" s="3">
        <f>IFERROR(VLOOKUP($A297,系統碼表!$A:$C,2,FALSE),"")</f>
      </c>
    </row>
    <row r="298" spans="1:19" x14ac:dyDescent="0.25">
      <c r="E298" s="3">
        <f>IF($A298="","",$A298&amp;"."&amp;$B298&amp;"."&amp;$C298&amp;"."&amp;$D298)</f>
      </c>
      <c r="I298" s="3">
        <f>IFERROR(VLOOKUP($A298,系統碼表!$A:$C,3,FALSE),"")</f>
      </c>
      <c r="J298" s="3">
        <f>IFERROR(VLOOKUP($A298,系統碼表!$A:$C,2,FALSE),"")</f>
      </c>
    </row>
    <row r="299" spans="1:19" x14ac:dyDescent="0.25">
      <c r="E299" s="3">
        <f>IF($A299="","",$A299&amp;"."&amp;$B299&amp;"."&amp;$C299&amp;"."&amp;$D299)</f>
      </c>
      <c r="I299" s="3">
        <f>IFERROR(VLOOKUP($A299,系統碼表!$A:$C,3,FALSE),"")</f>
      </c>
      <c r="J299" s="3">
        <f>IFERROR(VLOOKUP($A299,系統碼表!$A:$C,2,FALSE),"")</f>
      </c>
    </row>
    <row r="300" spans="1:19" x14ac:dyDescent="0.25">
      <c r="E300" s="3">
        <f>IF($A300="","",$A300&amp;"."&amp;$B300&amp;"."&amp;$C300&amp;"."&amp;$D300)</f>
      </c>
      <c r="I300" s="3">
        <f>IFERROR(VLOOKUP($A300,系統碼表!$A:$C,3,FALSE),"")</f>
      </c>
      <c r="J300" s="3">
        <f>IFERROR(VLOOKUP($A300,系統碼表!$A:$C,2,FALSE),"")</f>
      </c>
    </row>
    <row r="301" spans="1:19" x14ac:dyDescent="0.25">
      <c r="E301" s="3">
        <f>IF($A301="","",$A301&amp;"."&amp;$B301&amp;"."&amp;$C301&amp;"."&amp;$D301)</f>
      </c>
      <c r="I301" s="3">
        <f>IFERROR(VLOOKUP($A301,系統碼表!$A:$C,3,FALSE),"")</f>
      </c>
      <c r="J301" s="3">
        <f>IFERROR(VLOOKUP($A301,系統碼表!$A:$C,2,FALSE),"")</f>
      </c>
    </row>
  </sheetData>
  <autoFilter ref="A1:T1"/>
  <dataValidations count="12">
    <dataValidation type="list" allowBlank="1" sqref="A10:A301">
      <formula1>系統碼表!$A$2:$A$11</formula1>
    </dataValidation>
    <dataValidation type="list" allowBlank="1" sqref="A2:A301">
      <formula1>系統碼表!$A$2:$A$11</formula1>
    </dataValidation>
    <dataValidation type="list" allowBlank="1" sqref="H10:H301">
      <formula1>單位表!$A$2:$A$10</formula1>
    </dataValidation>
    <dataValidation type="list" allowBlank="1" sqref="H2:H301">
      <formula1>單位表!$A$2:$A$10</formula1>
    </dataValidation>
    <dataValidation type="list" allowBlank="1" sqref="K10:K301">
      <formula1>子系統清單!$B$2:$B$13</formula1>
    </dataValidation>
    <dataValidation type="list" allowBlank="1" sqref="K2:K301">
      <formula1>子系統清單!$B$2:$B$13</formula1>
    </dataValidation>
    <dataValidation type="list" allowBlank="1" sqref="M10:M301">
      <formula1>"1,2,3,4,未分類"</formula1>
    </dataValidation>
    <dataValidation type="list" allowBlank="1" sqref="M2:M301">
      <formula1>"1,2,3,4,未分類"</formula1>
    </dataValidation>
    <dataValidation type="list" allowBlank="1" sqref="N10:O301">
      <formula1>"是,否"</formula1>
    </dataValidation>
    <dataValidation type="list" allowBlank="1" sqref="N2:O301">
      <formula1>"是,否"</formula1>
    </dataValidation>
    <dataValidation type="list" allowBlank="1" sqref="S10:S301">
      <formula1>"是,否"</formula1>
    </dataValidation>
    <dataValidation type="list" allowBlank="1" sqref="S2:S301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0" customWidth="1"/>
    <col min="2" max="2" width="18" customWidth="1"/>
    <col min="3" max="3" width="12" customWidth="1"/>
  </cols>
  <sheetData>
    <row r="1" ht="22" customHeight="1" spans="1:3" x14ac:dyDescent="0.25">
      <c r="A1" s="1" t="s">
        <v>45</v>
      </c>
      <c r="B1" s="1" t="s">
        <v>46</v>
      </c>
      <c r="C1" s="1" t="s">
        <v>47</v>
      </c>
    </row>
    <row r="2" spans="1:3" x14ac:dyDescent="0.25">
      <c r="A2" t="s">
        <v>48</v>
      </c>
      <c r="B2" t="s">
        <v>49</v>
      </c>
      <c r="C2" t="s">
        <v>50</v>
      </c>
    </row>
    <row r="3" spans="1:3" x14ac:dyDescent="0.25">
      <c r="A3" t="s">
        <v>51</v>
      </c>
      <c r="B3" t="s">
        <v>52</v>
      </c>
      <c r="C3" t="s">
        <v>50</v>
      </c>
    </row>
    <row r="4" spans="1:3" x14ac:dyDescent="0.25">
      <c r="A4" t="s">
        <v>53</v>
      </c>
      <c r="B4" t="s">
        <v>54</v>
      </c>
      <c r="C4" t="s">
        <v>50</v>
      </c>
    </row>
    <row r="5" spans="1:3" x14ac:dyDescent="0.25">
      <c r="A5" t="s">
        <v>20</v>
      </c>
      <c r="B5" t="s">
        <v>55</v>
      </c>
      <c r="C5" t="s">
        <v>50</v>
      </c>
    </row>
    <row r="6" spans="1:3" x14ac:dyDescent="0.25">
      <c r="A6" t="s">
        <v>56</v>
      </c>
      <c r="B6" t="s">
        <v>57</v>
      </c>
      <c r="C6" t="s">
        <v>58</v>
      </c>
    </row>
    <row r="7" spans="1:3" x14ac:dyDescent="0.25">
      <c r="A7" t="s">
        <v>59</v>
      </c>
      <c r="B7" t="s">
        <v>60</v>
      </c>
      <c r="C7" t="s">
        <v>58</v>
      </c>
    </row>
    <row r="8" spans="1:3" x14ac:dyDescent="0.25">
      <c r="A8" t="s">
        <v>61</v>
      </c>
      <c r="B8" t="s">
        <v>62</v>
      </c>
      <c r="C8" t="s">
        <v>58</v>
      </c>
    </row>
    <row r="9" spans="1:3" x14ac:dyDescent="0.25">
      <c r="A9" t="s">
        <v>40</v>
      </c>
      <c r="B9" t="s">
        <v>63</v>
      </c>
      <c r="C9" t="s">
        <v>58</v>
      </c>
    </row>
    <row r="10" spans="1:3" x14ac:dyDescent="0.25">
      <c r="A10" t="s">
        <v>64</v>
      </c>
      <c r="B10" t="s">
        <v>65</v>
      </c>
      <c r="C10" t="s">
        <v>58</v>
      </c>
    </row>
    <row r="11" spans="1:3" x14ac:dyDescent="0.25">
      <c r="A11" t="s">
        <v>66</v>
      </c>
      <c r="B11" t="s">
        <v>67</v>
      </c>
      <c r="C1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10" customWidth="1"/>
    <col min="4" max="4" width="40" customWidth="1"/>
    <col min="5" max="5" width="8" customWidth="1"/>
  </cols>
  <sheetData>
    <row r="1" ht="22" customHeight="1" spans="1:5" x14ac:dyDescent="0.25">
      <c r="A1" s="1" t="s">
        <v>45</v>
      </c>
      <c r="B1" s="1" t="s">
        <v>46</v>
      </c>
      <c r="C1" s="1" t="s">
        <v>68</v>
      </c>
      <c r="D1" s="1" t="s">
        <v>69</v>
      </c>
      <c r="E1" s="1" t="s">
        <v>70</v>
      </c>
    </row>
    <row r="2" spans="1:5" x14ac:dyDescent="0.25">
      <c r="A2" t="s">
        <v>20</v>
      </c>
      <c r="B2" t="s">
        <v>55</v>
      </c>
      <c r="C2" t="s">
        <v>71</v>
      </c>
      <c r="D2" t="s">
        <v>72</v>
      </c>
      <c r="E2" t="s">
        <v>73</v>
      </c>
    </row>
    <row r="3" spans="1:5" x14ac:dyDescent="0.25">
      <c r="A3" t="s">
        <v>20</v>
      </c>
      <c r="B3" t="s">
        <v>55</v>
      </c>
      <c r="C3" t="s">
        <v>74</v>
      </c>
      <c r="D3" t="s">
        <v>75</v>
      </c>
      <c r="E3" t="s">
        <v>43</v>
      </c>
    </row>
    <row r="4" spans="1:5" x14ac:dyDescent="0.25">
      <c r="A4" t="s">
        <v>20</v>
      </c>
      <c r="B4" t="s">
        <v>55</v>
      </c>
      <c r="C4" t="s">
        <v>76</v>
      </c>
      <c r="D4" t="s">
        <v>77</v>
      </c>
      <c r="E4" t="s">
        <v>73</v>
      </c>
    </row>
    <row r="5" spans="1:5" x14ac:dyDescent="0.25">
      <c r="A5" t="s">
        <v>20</v>
      </c>
      <c r="B5" t="s">
        <v>55</v>
      </c>
      <c r="C5" t="s">
        <v>78</v>
      </c>
      <c r="D5" t="s">
        <v>79</v>
      </c>
      <c r="E5" t="s">
        <v>43</v>
      </c>
    </row>
    <row r="6" spans="1:5" x14ac:dyDescent="0.25">
      <c r="A6" t="s">
        <v>20</v>
      </c>
      <c r="B6" t="s">
        <v>55</v>
      </c>
      <c r="C6" t="s">
        <v>21</v>
      </c>
      <c r="D6" t="s">
        <v>28</v>
      </c>
      <c r="E6" t="s">
        <v>73</v>
      </c>
    </row>
    <row r="7" spans="1:5" x14ac:dyDescent="0.25">
      <c r="A7" t="s">
        <v>20</v>
      </c>
      <c r="B7" t="s">
        <v>55</v>
      </c>
      <c r="C7" t="s">
        <v>80</v>
      </c>
      <c r="D7" t="s">
        <v>81</v>
      </c>
      <c r="E7" t="s">
        <v>43</v>
      </c>
    </row>
    <row r="8" spans="1:5" x14ac:dyDescent="0.25">
      <c r="A8" t="s">
        <v>20</v>
      </c>
      <c r="B8" t="s">
        <v>55</v>
      </c>
      <c r="C8" t="s">
        <v>82</v>
      </c>
      <c r="D8" t="s">
        <v>83</v>
      </c>
      <c r="E8" t="s">
        <v>73</v>
      </c>
    </row>
    <row r="9" spans="1:5" x14ac:dyDescent="0.25">
      <c r="A9" t="s">
        <v>20</v>
      </c>
      <c r="B9" t="s">
        <v>55</v>
      </c>
      <c r="C9" t="s">
        <v>84</v>
      </c>
      <c r="D9" t="s">
        <v>85</v>
      </c>
      <c r="E9" t="s">
        <v>43</v>
      </c>
    </row>
    <row r="10" spans="1:5" x14ac:dyDescent="0.25">
      <c r="A10" t="s">
        <v>20</v>
      </c>
      <c r="B10" t="s">
        <v>55</v>
      </c>
      <c r="C10" t="s">
        <v>86</v>
      </c>
      <c r="D10" t="s">
        <v>87</v>
      </c>
      <c r="E10" t="s">
        <v>73</v>
      </c>
    </row>
    <row r="11" spans="1:5" x14ac:dyDescent="0.25">
      <c r="A11" t="s">
        <v>20</v>
      </c>
      <c r="B11" t="s">
        <v>55</v>
      </c>
      <c r="C11" t="s">
        <v>88</v>
      </c>
      <c r="D11" t="s">
        <v>89</v>
      </c>
      <c r="E11" t="s">
        <v>43</v>
      </c>
    </row>
    <row r="12" spans="1:5" x14ac:dyDescent="0.25">
      <c r="A12" t="s">
        <v>20</v>
      </c>
      <c r="B12" t="s">
        <v>55</v>
      </c>
      <c r="C12" t="s">
        <v>90</v>
      </c>
      <c r="D12" t="s">
        <v>91</v>
      </c>
      <c r="E12" t="s">
        <v>73</v>
      </c>
    </row>
    <row r="13" spans="1:5" x14ac:dyDescent="0.25">
      <c r="A13" t="s">
        <v>20</v>
      </c>
      <c r="B13" t="s">
        <v>55</v>
      </c>
      <c r="C13" t="s">
        <v>92</v>
      </c>
      <c r="D13" t="s">
        <v>93</v>
      </c>
      <c r="E13" t="s">
        <v>43</v>
      </c>
    </row>
    <row r="14" spans="1:5" x14ac:dyDescent="0.25">
      <c r="A14" t="s">
        <v>20</v>
      </c>
      <c r="B14" t="s">
        <v>55</v>
      </c>
      <c r="C14" t="s">
        <v>94</v>
      </c>
      <c r="D14" t="s">
        <v>95</v>
      </c>
      <c r="E14" t="s">
        <v>73</v>
      </c>
    </row>
    <row r="15" spans="1:5" x14ac:dyDescent="0.25">
      <c r="A15" t="s">
        <v>20</v>
      </c>
      <c r="B15" t="s">
        <v>55</v>
      </c>
      <c r="C15" t="s">
        <v>96</v>
      </c>
      <c r="D15" t="s">
        <v>97</v>
      </c>
      <c r="E15" t="s">
        <v>43</v>
      </c>
    </row>
    <row r="16" spans="1:5" x14ac:dyDescent="0.25">
      <c r="A16" t="s">
        <v>20</v>
      </c>
      <c r="B16" t="s">
        <v>55</v>
      </c>
      <c r="C16" t="s">
        <v>33</v>
      </c>
      <c r="D16" t="s">
        <v>39</v>
      </c>
      <c r="E16" t="s">
        <v>73</v>
      </c>
    </row>
    <row r="17" spans="1:5" x14ac:dyDescent="0.25">
      <c r="A17" t="s">
        <v>20</v>
      </c>
      <c r="B17" t="s">
        <v>55</v>
      </c>
      <c r="C17" t="s">
        <v>98</v>
      </c>
      <c r="D17" t="s">
        <v>99</v>
      </c>
      <c r="E17" t="s">
        <v>43</v>
      </c>
    </row>
    <row r="18" spans="1:5" x14ac:dyDescent="0.25">
      <c r="A18" t="s">
        <v>20</v>
      </c>
      <c r="B18" t="s">
        <v>55</v>
      </c>
      <c r="C18" t="s">
        <v>100</v>
      </c>
      <c r="D18" t="s">
        <v>101</v>
      </c>
      <c r="E18" t="s">
        <v>73</v>
      </c>
    </row>
    <row r="19" spans="1:5" x14ac:dyDescent="0.25">
      <c r="A19" t="s">
        <v>20</v>
      </c>
      <c r="B19" t="s">
        <v>55</v>
      </c>
      <c r="C19" t="s">
        <v>102</v>
      </c>
      <c r="D19" t="s">
        <v>103</v>
      </c>
      <c r="E19" t="s">
        <v>43</v>
      </c>
    </row>
    <row r="20" spans="1:5" x14ac:dyDescent="0.25">
      <c r="A20" t="s">
        <v>20</v>
      </c>
      <c r="B20" t="s">
        <v>55</v>
      </c>
      <c r="C20" t="s">
        <v>56</v>
      </c>
      <c r="D20" t="s">
        <v>104</v>
      </c>
      <c r="E20" t="s">
        <v>73</v>
      </c>
    </row>
    <row r="21" spans="1:5" x14ac:dyDescent="0.25">
      <c r="A21" t="s">
        <v>20</v>
      </c>
      <c r="B21" t="s">
        <v>55</v>
      </c>
      <c r="C21" t="s">
        <v>105</v>
      </c>
      <c r="D21" t="s">
        <v>106</v>
      </c>
      <c r="E21" t="s">
        <v>43</v>
      </c>
    </row>
    <row r="22" spans="1:5" x14ac:dyDescent="0.25">
      <c r="A22" t="s">
        <v>20</v>
      </c>
      <c r="B22" t="s">
        <v>55</v>
      </c>
      <c r="C22" t="s">
        <v>59</v>
      </c>
      <c r="D22" t="s">
        <v>107</v>
      </c>
      <c r="E22" t="s">
        <v>73</v>
      </c>
    </row>
    <row r="23" spans="1:5" x14ac:dyDescent="0.25">
      <c r="A23" t="s">
        <v>20</v>
      </c>
      <c r="B23" t="s">
        <v>55</v>
      </c>
      <c r="C23" t="s">
        <v>108</v>
      </c>
      <c r="D23" t="s">
        <v>109</v>
      </c>
      <c r="E23" t="s">
        <v>43</v>
      </c>
    </row>
    <row r="24" spans="1:5" x14ac:dyDescent="0.25">
      <c r="A24" t="s">
        <v>20</v>
      </c>
      <c r="B24" t="s">
        <v>55</v>
      </c>
      <c r="C24" t="s">
        <v>61</v>
      </c>
      <c r="D24" t="s">
        <v>110</v>
      </c>
      <c r="E24" t="s">
        <v>73</v>
      </c>
    </row>
    <row r="25" spans="1:5" x14ac:dyDescent="0.25">
      <c r="A25" t="s">
        <v>20</v>
      </c>
      <c r="B25" t="s">
        <v>55</v>
      </c>
      <c r="C25" t="s">
        <v>111</v>
      </c>
      <c r="D25" t="s">
        <v>112</v>
      </c>
      <c r="E25" t="s">
        <v>43</v>
      </c>
    </row>
    <row r="26" spans="1:5" x14ac:dyDescent="0.25">
      <c r="A26" t="s">
        <v>20</v>
      </c>
      <c r="B26" t="s">
        <v>55</v>
      </c>
      <c r="C26" t="s">
        <v>40</v>
      </c>
      <c r="D26" t="s">
        <v>44</v>
      </c>
      <c r="E26" t="s">
        <v>73</v>
      </c>
    </row>
    <row r="27" spans="1:5" x14ac:dyDescent="0.25">
      <c r="A27" t="s">
        <v>20</v>
      </c>
      <c r="B27" t="s">
        <v>55</v>
      </c>
      <c r="C27" t="s">
        <v>113</v>
      </c>
      <c r="D27" t="s">
        <v>114</v>
      </c>
      <c r="E27" t="s">
        <v>43</v>
      </c>
    </row>
    <row r="28" spans="1:5" x14ac:dyDescent="0.25">
      <c r="A28" t="s">
        <v>20</v>
      </c>
      <c r="B28" t="s">
        <v>55</v>
      </c>
      <c r="C28" t="s">
        <v>64</v>
      </c>
      <c r="D28" t="s">
        <v>115</v>
      </c>
      <c r="E28" t="s">
        <v>73</v>
      </c>
    </row>
    <row r="29" spans="1:5" x14ac:dyDescent="0.25">
      <c r="A29" t="s">
        <v>20</v>
      </c>
      <c r="B29" t="s">
        <v>55</v>
      </c>
      <c r="C29" t="s">
        <v>116</v>
      </c>
      <c r="D29" t="s">
        <v>117</v>
      </c>
      <c r="E29" t="s">
        <v>43</v>
      </c>
    </row>
    <row r="30" spans="1:5" x14ac:dyDescent="0.25">
      <c r="A30" t="s">
        <v>20</v>
      </c>
      <c r="B30" t="s">
        <v>55</v>
      </c>
      <c r="C30" t="s">
        <v>118</v>
      </c>
      <c r="D30" t="s">
        <v>119</v>
      </c>
      <c r="E30" t="s">
        <v>73</v>
      </c>
    </row>
    <row r="31" spans="1:5" x14ac:dyDescent="0.25">
      <c r="A31" t="s">
        <v>20</v>
      </c>
      <c r="B31" t="s">
        <v>55</v>
      </c>
      <c r="C31" t="s">
        <v>120</v>
      </c>
      <c r="D31" t="s">
        <v>121</v>
      </c>
      <c r="E31" t="s">
        <v>43</v>
      </c>
    </row>
    <row r="32" spans="1:5" x14ac:dyDescent="0.25">
      <c r="A32" t="s">
        <v>20</v>
      </c>
      <c r="B32" t="s">
        <v>55</v>
      </c>
      <c r="C32" t="s">
        <v>122</v>
      </c>
      <c r="D32" t="s">
        <v>123</v>
      </c>
      <c r="E32" t="s">
        <v>73</v>
      </c>
    </row>
    <row r="33" spans="1:5" x14ac:dyDescent="0.25">
      <c r="A33" t="s">
        <v>20</v>
      </c>
      <c r="B33" t="s">
        <v>55</v>
      </c>
      <c r="C33" t="s">
        <v>124</v>
      </c>
      <c r="D33" t="s">
        <v>125</v>
      </c>
      <c r="E33" t="s">
        <v>43</v>
      </c>
    </row>
    <row r="34" spans="1:5" x14ac:dyDescent="0.25">
      <c r="A34" t="s">
        <v>20</v>
      </c>
      <c r="B34" t="s">
        <v>55</v>
      </c>
      <c r="C34" t="s">
        <v>126</v>
      </c>
      <c r="D34" t="s">
        <v>127</v>
      </c>
      <c r="E34" t="s">
        <v>73</v>
      </c>
    </row>
    <row r="35" spans="1:5" x14ac:dyDescent="0.25">
      <c r="A35" t="s">
        <v>20</v>
      </c>
      <c r="B35" t="s">
        <v>55</v>
      </c>
      <c r="C35" t="s">
        <v>128</v>
      </c>
      <c r="D35" t="s">
        <v>129</v>
      </c>
      <c r="E35" t="s">
        <v>43</v>
      </c>
    </row>
    <row r="36" spans="1:5" x14ac:dyDescent="0.25">
      <c r="A36" t="s">
        <v>20</v>
      </c>
      <c r="B36" t="s">
        <v>55</v>
      </c>
      <c r="C36" t="s">
        <v>130</v>
      </c>
      <c r="D36" t="s">
        <v>131</v>
      </c>
      <c r="E36" t="s">
        <v>73</v>
      </c>
    </row>
    <row r="37" spans="1:5" x14ac:dyDescent="0.25">
      <c r="A37" t="s">
        <v>20</v>
      </c>
      <c r="B37" t="s">
        <v>55</v>
      </c>
      <c r="C37" t="s">
        <v>132</v>
      </c>
      <c r="D37" t="s">
        <v>133</v>
      </c>
      <c r="E37" t="s">
        <v>43</v>
      </c>
    </row>
    <row r="38" spans="1:5" x14ac:dyDescent="0.25">
      <c r="A38" t="s">
        <v>20</v>
      </c>
      <c r="B38" t="s">
        <v>55</v>
      </c>
      <c r="C38" t="s">
        <v>134</v>
      </c>
      <c r="D38" t="s">
        <v>135</v>
      </c>
      <c r="E38" t="s">
        <v>73</v>
      </c>
    </row>
    <row r="39" spans="1:5" x14ac:dyDescent="0.25">
      <c r="A39" t="s">
        <v>20</v>
      </c>
      <c r="B39" t="s">
        <v>55</v>
      </c>
      <c r="C39" t="s">
        <v>136</v>
      </c>
      <c r="D39" t="s">
        <v>137</v>
      </c>
      <c r="E39" t="s">
        <v>43</v>
      </c>
    </row>
    <row r="40" spans="1:5" x14ac:dyDescent="0.25">
      <c r="A40" t="s">
        <v>20</v>
      </c>
      <c r="B40" t="s">
        <v>55</v>
      </c>
      <c r="C40" t="s">
        <v>138</v>
      </c>
      <c r="D40" t="s">
        <v>139</v>
      </c>
      <c r="E40" t="s">
        <v>73</v>
      </c>
    </row>
    <row r="41" spans="1:5" x14ac:dyDescent="0.25">
      <c r="A41" t="s">
        <v>20</v>
      </c>
      <c r="B41" t="s">
        <v>55</v>
      </c>
      <c r="C41" t="s">
        <v>140</v>
      </c>
      <c r="D41" t="s">
        <v>141</v>
      </c>
      <c r="E41" t="s">
        <v>43</v>
      </c>
    </row>
    <row r="42" spans="1:5" x14ac:dyDescent="0.25">
      <c r="A42" t="s">
        <v>20</v>
      </c>
      <c r="B42" t="s">
        <v>55</v>
      </c>
      <c r="C42" t="s">
        <v>142</v>
      </c>
      <c r="D42" t="s">
        <v>143</v>
      </c>
      <c r="E42" t="s">
        <v>73</v>
      </c>
    </row>
    <row r="43" spans="1:5" x14ac:dyDescent="0.25">
      <c r="A43" t="s">
        <v>20</v>
      </c>
      <c r="B43" t="s">
        <v>55</v>
      </c>
      <c r="C43" t="s">
        <v>144</v>
      </c>
      <c r="D43" t="s">
        <v>145</v>
      </c>
      <c r="E43" t="s">
        <v>43</v>
      </c>
    </row>
    <row r="44" spans="1:5" x14ac:dyDescent="0.25">
      <c r="A44" t="s">
        <v>20</v>
      </c>
      <c r="B44" t="s">
        <v>55</v>
      </c>
      <c r="C44" t="s">
        <v>146</v>
      </c>
      <c r="D44" t="s">
        <v>147</v>
      </c>
      <c r="E44" t="s">
        <v>73</v>
      </c>
    </row>
    <row r="45" spans="1:5" x14ac:dyDescent="0.25">
      <c r="A45" t="s">
        <v>20</v>
      </c>
      <c r="B45" t="s">
        <v>55</v>
      </c>
      <c r="C45" t="s">
        <v>148</v>
      </c>
      <c r="D45" t="s">
        <v>149</v>
      </c>
      <c r="E45" t="s">
        <v>43</v>
      </c>
    </row>
    <row r="46" spans="1:5" x14ac:dyDescent="0.25">
      <c r="A46" t="s">
        <v>20</v>
      </c>
      <c r="B46" t="s">
        <v>55</v>
      </c>
      <c r="C46" t="s">
        <v>150</v>
      </c>
      <c r="D46" t="s">
        <v>151</v>
      </c>
      <c r="E46" t="s">
        <v>73</v>
      </c>
    </row>
    <row r="47" spans="1:5" x14ac:dyDescent="0.25">
      <c r="A47" t="s">
        <v>20</v>
      </c>
      <c r="B47" t="s">
        <v>55</v>
      </c>
      <c r="C47" t="s">
        <v>152</v>
      </c>
      <c r="D47" t="s">
        <v>153</v>
      </c>
      <c r="E47" t="s">
        <v>43</v>
      </c>
    </row>
    <row r="48" spans="1:5" x14ac:dyDescent="0.25">
      <c r="A48" t="s">
        <v>20</v>
      </c>
      <c r="B48" t="s">
        <v>55</v>
      </c>
      <c r="C48" t="s">
        <v>154</v>
      </c>
      <c r="D48" t="s">
        <v>155</v>
      </c>
      <c r="E48" t="s">
        <v>73</v>
      </c>
    </row>
    <row r="49" spans="1:5" x14ac:dyDescent="0.25">
      <c r="A49" t="s">
        <v>20</v>
      </c>
      <c r="B49" t="s">
        <v>55</v>
      </c>
      <c r="C49" t="s">
        <v>156</v>
      </c>
      <c r="D49" t="s">
        <v>157</v>
      </c>
      <c r="E49" t="s">
        <v>43</v>
      </c>
    </row>
    <row r="50" spans="1:5" x14ac:dyDescent="0.25">
      <c r="A50" t="s">
        <v>20</v>
      </c>
      <c r="B50" t="s">
        <v>55</v>
      </c>
      <c r="C50" t="s">
        <v>158</v>
      </c>
      <c r="D50" t="s">
        <v>159</v>
      </c>
      <c r="E50" t="s">
        <v>73</v>
      </c>
    </row>
    <row r="51" spans="1:5" x14ac:dyDescent="0.25">
      <c r="A51" t="s">
        <v>20</v>
      </c>
      <c r="B51" t="s">
        <v>55</v>
      </c>
      <c r="C51" t="s">
        <v>160</v>
      </c>
      <c r="D51" t="s">
        <v>161</v>
      </c>
      <c r="E51" t="s">
        <v>43</v>
      </c>
    </row>
    <row r="52" spans="1:5" x14ac:dyDescent="0.25">
      <c r="A52" t="s">
        <v>20</v>
      </c>
      <c r="B52" t="s">
        <v>55</v>
      </c>
      <c r="C52" t="s">
        <v>162</v>
      </c>
      <c r="D52" t="s">
        <v>163</v>
      </c>
      <c r="E52" t="s">
        <v>73</v>
      </c>
    </row>
    <row r="53" spans="1:5" x14ac:dyDescent="0.25">
      <c r="A53" t="s">
        <v>20</v>
      </c>
      <c r="B53" t="s">
        <v>55</v>
      </c>
      <c r="C53" t="s">
        <v>164</v>
      </c>
      <c r="D53" t="s">
        <v>165</v>
      </c>
      <c r="E53" t="s">
        <v>43</v>
      </c>
    </row>
    <row r="54" spans="1:5" x14ac:dyDescent="0.25">
      <c r="A54" t="s">
        <v>20</v>
      </c>
      <c r="B54" t="s">
        <v>55</v>
      </c>
      <c r="C54" t="s">
        <v>166</v>
      </c>
      <c r="D54" t="s">
        <v>167</v>
      </c>
      <c r="E54" t="s">
        <v>73</v>
      </c>
    </row>
    <row r="55" spans="1:5" x14ac:dyDescent="0.25">
      <c r="A55" t="s">
        <v>20</v>
      </c>
      <c r="B55" t="s">
        <v>55</v>
      </c>
      <c r="C55" t="s">
        <v>168</v>
      </c>
      <c r="D55" t="s">
        <v>169</v>
      </c>
      <c r="E55" t="s">
        <v>43</v>
      </c>
    </row>
    <row r="56" spans="1:5" x14ac:dyDescent="0.25">
      <c r="A56" t="s">
        <v>20</v>
      </c>
      <c r="B56" t="s">
        <v>55</v>
      </c>
      <c r="C56" t="s">
        <v>170</v>
      </c>
      <c r="D56" t="s">
        <v>171</v>
      </c>
      <c r="E56" t="s">
        <v>73</v>
      </c>
    </row>
    <row r="57" spans="1:5" x14ac:dyDescent="0.25">
      <c r="A57" t="s">
        <v>20</v>
      </c>
      <c r="B57" t="s">
        <v>55</v>
      </c>
      <c r="C57" t="s">
        <v>172</v>
      </c>
      <c r="D57" t="s">
        <v>173</v>
      </c>
      <c r="E57" t="s">
        <v>43</v>
      </c>
    </row>
    <row r="58" spans="1:5" x14ac:dyDescent="0.25">
      <c r="A58" t="s">
        <v>20</v>
      </c>
      <c r="B58" t="s">
        <v>55</v>
      </c>
      <c r="C58" t="s">
        <v>174</v>
      </c>
      <c r="D58" t="s">
        <v>175</v>
      </c>
      <c r="E58" t="s">
        <v>73</v>
      </c>
    </row>
    <row r="59" spans="1:5" x14ac:dyDescent="0.25">
      <c r="A59" t="s">
        <v>20</v>
      </c>
      <c r="B59" t="s">
        <v>55</v>
      </c>
      <c r="C59" t="s">
        <v>176</v>
      </c>
      <c r="D59" t="s">
        <v>177</v>
      </c>
      <c r="E59" t="s">
        <v>43</v>
      </c>
    </row>
    <row r="60" spans="1:5" x14ac:dyDescent="0.25">
      <c r="A60" t="s">
        <v>20</v>
      </c>
      <c r="B60" t="s">
        <v>55</v>
      </c>
      <c r="C60" t="s">
        <v>178</v>
      </c>
      <c r="D60" t="s">
        <v>179</v>
      </c>
      <c r="E60" t="s">
        <v>73</v>
      </c>
    </row>
    <row r="61" spans="1:5" x14ac:dyDescent="0.25">
      <c r="A61" t="s">
        <v>20</v>
      </c>
      <c r="B61" t="s">
        <v>55</v>
      </c>
      <c r="C61" t="s">
        <v>180</v>
      </c>
      <c r="D61" t="s">
        <v>181</v>
      </c>
      <c r="E61" t="s">
        <v>43</v>
      </c>
    </row>
    <row r="62" spans="1:5" x14ac:dyDescent="0.25">
      <c r="A62" t="s">
        <v>20</v>
      </c>
      <c r="B62" t="s">
        <v>55</v>
      </c>
      <c r="C62" t="s">
        <v>182</v>
      </c>
      <c r="D62" t="s">
        <v>183</v>
      </c>
      <c r="E62" t="s">
        <v>73</v>
      </c>
    </row>
    <row r="63" spans="1:5" x14ac:dyDescent="0.25">
      <c r="A63" t="s">
        <v>20</v>
      </c>
      <c r="B63" t="s">
        <v>55</v>
      </c>
      <c r="C63" t="s">
        <v>184</v>
      </c>
      <c r="D63" t="s">
        <v>185</v>
      </c>
      <c r="E63" t="s">
        <v>43</v>
      </c>
    </row>
    <row r="64" spans="1:5" x14ac:dyDescent="0.25">
      <c r="A64" t="s">
        <v>48</v>
      </c>
      <c r="B64" t="s">
        <v>49</v>
      </c>
      <c r="C64" t="s">
        <v>186</v>
      </c>
      <c r="D64" t="s">
        <v>187</v>
      </c>
      <c r="E64" t="s">
        <v>73</v>
      </c>
    </row>
    <row r="65" spans="1:5" x14ac:dyDescent="0.25">
      <c r="A65" t="s">
        <v>48</v>
      </c>
      <c r="B65" t="s">
        <v>49</v>
      </c>
      <c r="C65" t="s">
        <v>188</v>
      </c>
      <c r="D65" t="s">
        <v>189</v>
      </c>
      <c r="E65" t="s">
        <v>73</v>
      </c>
    </row>
    <row r="66" spans="1:5" x14ac:dyDescent="0.25">
      <c r="A66" t="s">
        <v>48</v>
      </c>
      <c r="B66" t="s">
        <v>49</v>
      </c>
      <c r="C66" t="s">
        <v>190</v>
      </c>
      <c r="D66" t="s">
        <v>191</v>
      </c>
      <c r="E66" t="s">
        <v>73</v>
      </c>
    </row>
    <row r="67" spans="1:5" x14ac:dyDescent="0.25">
      <c r="A67" t="s">
        <v>48</v>
      </c>
      <c r="B67" t="s">
        <v>49</v>
      </c>
      <c r="C67" t="s">
        <v>192</v>
      </c>
      <c r="D67" t="s">
        <v>193</v>
      </c>
      <c r="E67" t="s">
        <v>73</v>
      </c>
    </row>
    <row r="68" spans="1:5" x14ac:dyDescent="0.25">
      <c r="A68" t="s">
        <v>48</v>
      </c>
      <c r="B68" t="s">
        <v>49</v>
      </c>
      <c r="C68" t="s">
        <v>194</v>
      </c>
      <c r="D68" t="s">
        <v>195</v>
      </c>
      <c r="E68" t="s">
        <v>73</v>
      </c>
    </row>
    <row r="69" spans="1:5" x14ac:dyDescent="0.25">
      <c r="A69" t="s">
        <v>48</v>
      </c>
      <c r="B69" t="s">
        <v>49</v>
      </c>
      <c r="C69" t="s">
        <v>196</v>
      </c>
      <c r="D69" t="s">
        <v>197</v>
      </c>
      <c r="E69" t="s">
        <v>73</v>
      </c>
    </row>
    <row r="70" spans="1:5" x14ac:dyDescent="0.25">
      <c r="A70" t="s">
        <v>48</v>
      </c>
      <c r="B70" t="s">
        <v>49</v>
      </c>
      <c r="C70" t="s">
        <v>198</v>
      </c>
      <c r="D70" t="s">
        <v>199</v>
      </c>
      <c r="E70" t="s">
        <v>73</v>
      </c>
    </row>
    <row r="71" spans="1:5" x14ac:dyDescent="0.25">
      <c r="A71" t="s">
        <v>48</v>
      </c>
      <c r="B71" t="s">
        <v>49</v>
      </c>
      <c r="C71" t="s">
        <v>124</v>
      </c>
      <c r="D71" t="s">
        <v>200</v>
      </c>
      <c r="E71" t="s">
        <v>73</v>
      </c>
    </row>
    <row r="72" spans="1:5" x14ac:dyDescent="0.25">
      <c r="A72" t="s">
        <v>48</v>
      </c>
      <c r="B72" t="s">
        <v>49</v>
      </c>
      <c r="C72" t="s">
        <v>201</v>
      </c>
      <c r="D72" t="s">
        <v>202</v>
      </c>
      <c r="E72" t="s">
        <v>73</v>
      </c>
    </row>
    <row r="73" spans="1:5" x14ac:dyDescent="0.25">
      <c r="A73" t="s">
        <v>48</v>
      </c>
      <c r="B73" t="s">
        <v>49</v>
      </c>
      <c r="C73" t="s">
        <v>128</v>
      </c>
      <c r="D73" t="s">
        <v>203</v>
      </c>
      <c r="E73" t="s">
        <v>73</v>
      </c>
    </row>
    <row r="74" spans="1:5" x14ac:dyDescent="0.25">
      <c r="A74" t="s">
        <v>48</v>
      </c>
      <c r="B74" t="s">
        <v>49</v>
      </c>
      <c r="C74" t="s">
        <v>204</v>
      </c>
      <c r="D74" t="s">
        <v>205</v>
      </c>
      <c r="E74" t="s">
        <v>73</v>
      </c>
    </row>
    <row r="75" spans="1:5" x14ac:dyDescent="0.25">
      <c r="A75" t="s">
        <v>48</v>
      </c>
      <c r="B75" t="s">
        <v>49</v>
      </c>
      <c r="C75" t="s">
        <v>26</v>
      </c>
      <c r="D75" t="s">
        <v>206</v>
      </c>
      <c r="E75" t="s">
        <v>73</v>
      </c>
    </row>
    <row r="76" spans="1:5" x14ac:dyDescent="0.25">
      <c r="A76" t="s">
        <v>48</v>
      </c>
      <c r="B76" t="s">
        <v>49</v>
      </c>
      <c r="C76" t="s">
        <v>207</v>
      </c>
      <c r="D76" t="s">
        <v>208</v>
      </c>
      <c r="E76" t="s">
        <v>73</v>
      </c>
    </row>
    <row r="77" spans="1:5" x14ac:dyDescent="0.25">
      <c r="A77" t="s">
        <v>48</v>
      </c>
      <c r="B77" t="s">
        <v>49</v>
      </c>
      <c r="C77" t="s">
        <v>209</v>
      </c>
      <c r="D77" t="s">
        <v>210</v>
      </c>
      <c r="E77" t="s">
        <v>73</v>
      </c>
    </row>
    <row r="78" spans="1:5" x14ac:dyDescent="0.25">
      <c r="A78" t="s">
        <v>48</v>
      </c>
      <c r="B78" t="s">
        <v>49</v>
      </c>
      <c r="C78" t="s">
        <v>211</v>
      </c>
      <c r="D78" t="s">
        <v>212</v>
      </c>
      <c r="E78" t="s">
        <v>73</v>
      </c>
    </row>
    <row r="79" spans="1:5" x14ac:dyDescent="0.25">
      <c r="A79" t="s">
        <v>48</v>
      </c>
      <c r="B79" t="s">
        <v>49</v>
      </c>
      <c r="C79" t="s">
        <v>140</v>
      </c>
      <c r="D79" t="s">
        <v>213</v>
      </c>
      <c r="E79" t="s">
        <v>73</v>
      </c>
    </row>
    <row r="80" spans="1:5" x14ac:dyDescent="0.25">
      <c r="A80" t="s">
        <v>48</v>
      </c>
      <c r="B80" t="s">
        <v>49</v>
      </c>
      <c r="C80" t="s">
        <v>214</v>
      </c>
      <c r="D80" t="s">
        <v>215</v>
      </c>
      <c r="E80" t="s">
        <v>73</v>
      </c>
    </row>
    <row r="81" spans="1:5" x14ac:dyDescent="0.25">
      <c r="A81" t="s">
        <v>48</v>
      </c>
      <c r="B81" t="s">
        <v>49</v>
      </c>
      <c r="C81" t="s">
        <v>144</v>
      </c>
      <c r="D81" t="s">
        <v>216</v>
      </c>
      <c r="E81" t="s">
        <v>73</v>
      </c>
    </row>
    <row r="82" spans="1:5" x14ac:dyDescent="0.25">
      <c r="A82" t="s">
        <v>48</v>
      </c>
      <c r="B82" t="s">
        <v>49</v>
      </c>
      <c r="C82" t="s">
        <v>217</v>
      </c>
      <c r="D82" t="s">
        <v>218</v>
      </c>
      <c r="E82" t="s">
        <v>73</v>
      </c>
    </row>
    <row r="83" spans="1:5" x14ac:dyDescent="0.25">
      <c r="A83" t="s">
        <v>48</v>
      </c>
      <c r="B83" t="s">
        <v>49</v>
      </c>
      <c r="C83" t="s">
        <v>219</v>
      </c>
      <c r="D83" t="s">
        <v>220</v>
      </c>
      <c r="E83" t="s">
        <v>73</v>
      </c>
    </row>
    <row r="84" spans="1:5" x14ac:dyDescent="0.25">
      <c r="A84" t="s">
        <v>48</v>
      </c>
      <c r="B84" t="s">
        <v>49</v>
      </c>
      <c r="C84" t="s">
        <v>221</v>
      </c>
      <c r="D84" t="s">
        <v>222</v>
      </c>
      <c r="E84" t="s">
        <v>73</v>
      </c>
    </row>
    <row r="85" spans="1:5" x14ac:dyDescent="0.25">
      <c r="A85" t="s">
        <v>48</v>
      </c>
      <c r="B85" t="s">
        <v>49</v>
      </c>
      <c r="C85" t="s">
        <v>223</v>
      </c>
      <c r="D85" t="s">
        <v>224</v>
      </c>
      <c r="E85" t="s">
        <v>73</v>
      </c>
    </row>
    <row r="86" spans="1:5" x14ac:dyDescent="0.25">
      <c r="A86" t="s">
        <v>48</v>
      </c>
      <c r="B86" t="s">
        <v>49</v>
      </c>
      <c r="C86" t="s">
        <v>225</v>
      </c>
      <c r="D86" t="s">
        <v>226</v>
      </c>
      <c r="E86" t="s">
        <v>73</v>
      </c>
    </row>
    <row r="87" spans="1:5" x14ac:dyDescent="0.25">
      <c r="A87" t="s">
        <v>48</v>
      </c>
      <c r="B87" t="s">
        <v>49</v>
      </c>
      <c r="C87" t="s">
        <v>227</v>
      </c>
      <c r="D87" t="s">
        <v>228</v>
      </c>
      <c r="E87" t="s">
        <v>73</v>
      </c>
    </row>
    <row r="88" spans="1:5" x14ac:dyDescent="0.25">
      <c r="A88" t="s">
        <v>48</v>
      </c>
      <c r="B88" t="s">
        <v>49</v>
      </c>
      <c r="C88" t="s">
        <v>154</v>
      </c>
      <c r="D88" t="s">
        <v>229</v>
      </c>
      <c r="E88" t="s">
        <v>73</v>
      </c>
    </row>
    <row r="89" spans="1:5" x14ac:dyDescent="0.25">
      <c r="A89" t="s">
        <v>48</v>
      </c>
      <c r="B89" t="s">
        <v>49</v>
      </c>
      <c r="C89" t="s">
        <v>230</v>
      </c>
      <c r="D89" t="s">
        <v>231</v>
      </c>
      <c r="E89" t="s">
        <v>73</v>
      </c>
    </row>
    <row r="90" spans="1:5" x14ac:dyDescent="0.25">
      <c r="A90" t="s">
        <v>48</v>
      </c>
      <c r="B90" t="s">
        <v>49</v>
      </c>
      <c r="C90" t="s">
        <v>162</v>
      </c>
      <c r="D90" t="s">
        <v>232</v>
      </c>
      <c r="E90" t="s">
        <v>73</v>
      </c>
    </row>
    <row r="91" spans="1:5" x14ac:dyDescent="0.25">
      <c r="A91" t="s">
        <v>48</v>
      </c>
      <c r="B91" t="s">
        <v>49</v>
      </c>
      <c r="C91" t="s">
        <v>233</v>
      </c>
      <c r="D91" t="s">
        <v>234</v>
      </c>
      <c r="E91" t="s">
        <v>73</v>
      </c>
    </row>
    <row r="92" spans="1:5" x14ac:dyDescent="0.25">
      <c r="A92" t="s">
        <v>48</v>
      </c>
      <c r="B92" t="s">
        <v>49</v>
      </c>
      <c r="C92" t="s">
        <v>235</v>
      </c>
      <c r="D92" t="s">
        <v>236</v>
      </c>
      <c r="E92" t="s">
        <v>73</v>
      </c>
    </row>
    <row r="93" spans="1:5" x14ac:dyDescent="0.25">
      <c r="A93" t="s">
        <v>48</v>
      </c>
      <c r="B93" t="s">
        <v>49</v>
      </c>
      <c r="C93" t="s">
        <v>237</v>
      </c>
      <c r="D93" t="s">
        <v>238</v>
      </c>
      <c r="E93" t="s">
        <v>73</v>
      </c>
    </row>
    <row r="94" spans="1:5" x14ac:dyDescent="0.25">
      <c r="A94" t="s">
        <v>48</v>
      </c>
      <c r="B94" t="s">
        <v>49</v>
      </c>
      <c r="C94" t="s">
        <v>239</v>
      </c>
      <c r="D94" t="s">
        <v>240</v>
      </c>
      <c r="E94" t="s">
        <v>73</v>
      </c>
    </row>
    <row r="95" spans="1:5" x14ac:dyDescent="0.25">
      <c r="A95" t="s">
        <v>48</v>
      </c>
      <c r="B95" t="s">
        <v>49</v>
      </c>
      <c r="C95" t="s">
        <v>241</v>
      </c>
      <c r="D95" t="s">
        <v>242</v>
      </c>
      <c r="E95" t="s">
        <v>73</v>
      </c>
    </row>
    <row r="96" spans="1:5" x14ac:dyDescent="0.25">
      <c r="A96" t="s">
        <v>48</v>
      </c>
      <c r="B96" t="s">
        <v>49</v>
      </c>
      <c r="C96" t="s">
        <v>243</v>
      </c>
      <c r="D96" t="s">
        <v>244</v>
      </c>
      <c r="E96" t="s">
        <v>73</v>
      </c>
    </row>
    <row r="97" spans="1:5" x14ac:dyDescent="0.25">
      <c r="A97" t="s">
        <v>48</v>
      </c>
      <c r="B97" t="s">
        <v>49</v>
      </c>
      <c r="C97" t="s">
        <v>245</v>
      </c>
      <c r="D97" t="s">
        <v>246</v>
      </c>
      <c r="E97" t="s">
        <v>73</v>
      </c>
    </row>
    <row r="98" spans="1:5" x14ac:dyDescent="0.25">
      <c r="A98" t="s">
        <v>48</v>
      </c>
      <c r="B98" t="s">
        <v>49</v>
      </c>
      <c r="C98" t="s">
        <v>247</v>
      </c>
      <c r="D98" t="s">
        <v>248</v>
      </c>
      <c r="E98" t="s">
        <v>73</v>
      </c>
    </row>
    <row r="99" spans="1:5" x14ac:dyDescent="0.25">
      <c r="A99" t="s">
        <v>48</v>
      </c>
      <c r="B99" t="s">
        <v>49</v>
      </c>
      <c r="C99" t="s">
        <v>249</v>
      </c>
      <c r="D99" t="s">
        <v>250</v>
      </c>
      <c r="E99" t="s">
        <v>73</v>
      </c>
    </row>
    <row r="100" spans="1:5" x14ac:dyDescent="0.25">
      <c r="A100" t="s">
        <v>48</v>
      </c>
      <c r="B100" t="s">
        <v>49</v>
      </c>
      <c r="C100" t="s">
        <v>251</v>
      </c>
      <c r="D100" t="s">
        <v>252</v>
      </c>
      <c r="E100" t="s">
        <v>73</v>
      </c>
    </row>
    <row r="101" spans="1:5" x14ac:dyDescent="0.25">
      <c r="A101" t="s">
        <v>48</v>
      </c>
      <c r="B101" t="s">
        <v>49</v>
      </c>
      <c r="C101" t="s">
        <v>253</v>
      </c>
      <c r="D101" t="s">
        <v>254</v>
      </c>
      <c r="E101" t="s">
        <v>73</v>
      </c>
    </row>
    <row r="102" spans="1:5" x14ac:dyDescent="0.25">
      <c r="A102" t="s">
        <v>48</v>
      </c>
      <c r="B102" t="s">
        <v>49</v>
      </c>
      <c r="C102" t="s">
        <v>255</v>
      </c>
      <c r="D102" t="s">
        <v>256</v>
      </c>
      <c r="E102" t="s">
        <v>73</v>
      </c>
    </row>
    <row r="103" spans="1:5" x14ac:dyDescent="0.25">
      <c r="A103" t="s">
        <v>48</v>
      </c>
      <c r="B103" t="s">
        <v>49</v>
      </c>
      <c r="C103" t="s">
        <v>257</v>
      </c>
      <c r="D103" t="s">
        <v>258</v>
      </c>
      <c r="E103" t="s">
        <v>73</v>
      </c>
    </row>
    <row r="104" spans="1:5" x14ac:dyDescent="0.25">
      <c r="A104" t="s">
        <v>48</v>
      </c>
      <c r="B104" t="s">
        <v>49</v>
      </c>
      <c r="C104" t="s">
        <v>259</v>
      </c>
      <c r="D104" t="s">
        <v>260</v>
      </c>
      <c r="E104" t="s">
        <v>73</v>
      </c>
    </row>
    <row r="105" spans="1:5" x14ac:dyDescent="0.25">
      <c r="A105" t="s">
        <v>48</v>
      </c>
      <c r="B105" t="s">
        <v>49</v>
      </c>
      <c r="C105" t="s">
        <v>261</v>
      </c>
      <c r="D105" t="s">
        <v>262</v>
      </c>
      <c r="E105" t="s">
        <v>73</v>
      </c>
    </row>
    <row r="106" spans="1:5" x14ac:dyDescent="0.25">
      <c r="A106" t="s">
        <v>48</v>
      </c>
      <c r="B106" t="s">
        <v>49</v>
      </c>
      <c r="C106" t="s">
        <v>263</v>
      </c>
      <c r="D106" t="s">
        <v>264</v>
      </c>
      <c r="E106" t="s">
        <v>73</v>
      </c>
    </row>
    <row r="107" spans="1:5" x14ac:dyDescent="0.25">
      <c r="A107" t="s">
        <v>48</v>
      </c>
      <c r="B107" t="s">
        <v>49</v>
      </c>
      <c r="C107" t="s">
        <v>184</v>
      </c>
      <c r="D107" t="s">
        <v>265</v>
      </c>
      <c r="E107" t="s">
        <v>73</v>
      </c>
    </row>
    <row r="108" spans="1:5" x14ac:dyDescent="0.25">
      <c r="A108" t="s">
        <v>48</v>
      </c>
      <c r="B108" t="s">
        <v>49</v>
      </c>
      <c r="C108" t="s">
        <v>266</v>
      </c>
      <c r="D108" t="s">
        <v>267</v>
      </c>
      <c r="E108" t="s">
        <v>73</v>
      </c>
    </row>
    <row r="109" spans="1:5" x14ac:dyDescent="0.25">
      <c r="A109" t="s">
        <v>48</v>
      </c>
      <c r="B109" t="s">
        <v>49</v>
      </c>
      <c r="C109" t="s">
        <v>268</v>
      </c>
      <c r="D109" t="s">
        <v>269</v>
      </c>
      <c r="E109" t="s">
        <v>73</v>
      </c>
    </row>
    <row r="110" spans="1:5" x14ac:dyDescent="0.25">
      <c r="A110" t="s">
        <v>48</v>
      </c>
      <c r="B110" t="s">
        <v>49</v>
      </c>
      <c r="C110" t="s">
        <v>270</v>
      </c>
      <c r="D110" t="s">
        <v>271</v>
      </c>
      <c r="E110" t="s">
        <v>73</v>
      </c>
    </row>
    <row r="111" spans="1:5" x14ac:dyDescent="0.25">
      <c r="A111" t="s">
        <v>48</v>
      </c>
      <c r="B111" t="s">
        <v>49</v>
      </c>
      <c r="C111" t="s">
        <v>272</v>
      </c>
      <c r="D111" t="s">
        <v>273</v>
      </c>
      <c r="E111" t="s">
        <v>73</v>
      </c>
    </row>
    <row r="112" spans="1:5" x14ac:dyDescent="0.25">
      <c r="A112" t="s">
        <v>48</v>
      </c>
      <c r="B112" t="s">
        <v>49</v>
      </c>
      <c r="C112" t="s">
        <v>274</v>
      </c>
      <c r="D112" t="s">
        <v>275</v>
      </c>
      <c r="E112" t="s">
        <v>73</v>
      </c>
    </row>
    <row r="113" spans="1:5" x14ac:dyDescent="0.25">
      <c r="A113" t="s">
        <v>48</v>
      </c>
      <c r="B113" t="s">
        <v>49</v>
      </c>
      <c r="C113" t="s">
        <v>276</v>
      </c>
      <c r="D113" t="s">
        <v>277</v>
      </c>
      <c r="E113" t="s">
        <v>73</v>
      </c>
    </row>
    <row r="114" spans="1:5" x14ac:dyDescent="0.25">
      <c r="A114" t="s">
        <v>48</v>
      </c>
      <c r="B114" t="s">
        <v>49</v>
      </c>
      <c r="C114" t="s">
        <v>278</v>
      </c>
      <c r="D114" t="s">
        <v>279</v>
      </c>
      <c r="E114" t="s">
        <v>73</v>
      </c>
    </row>
    <row r="115" spans="1:5" x14ac:dyDescent="0.25">
      <c r="A115" t="s">
        <v>48</v>
      </c>
      <c r="B115" t="s">
        <v>49</v>
      </c>
      <c r="C115" t="s">
        <v>280</v>
      </c>
      <c r="D115" t="s">
        <v>281</v>
      </c>
      <c r="E115" t="s">
        <v>73</v>
      </c>
    </row>
    <row r="116" spans="1:5" x14ac:dyDescent="0.25">
      <c r="A116" t="s">
        <v>48</v>
      </c>
      <c r="B116" t="s">
        <v>49</v>
      </c>
      <c r="C116" t="s">
        <v>282</v>
      </c>
      <c r="D116" t="s">
        <v>283</v>
      </c>
      <c r="E116" t="s">
        <v>73</v>
      </c>
    </row>
    <row r="117" spans="1:5" x14ac:dyDescent="0.25">
      <c r="A117" t="s">
        <v>48</v>
      </c>
      <c r="B117" t="s">
        <v>49</v>
      </c>
      <c r="C117" t="s">
        <v>284</v>
      </c>
      <c r="D117" t="s">
        <v>285</v>
      </c>
      <c r="E117" t="s">
        <v>73</v>
      </c>
    </row>
    <row r="118" spans="1:5" x14ac:dyDescent="0.25">
      <c r="A118" t="s">
        <v>51</v>
      </c>
      <c r="B118" t="s">
        <v>52</v>
      </c>
      <c r="C118" t="s">
        <v>286</v>
      </c>
      <c r="D118" t="s">
        <v>287</v>
      </c>
      <c r="E118" t="s">
        <v>73</v>
      </c>
    </row>
    <row r="119" spans="1:5" x14ac:dyDescent="0.25">
      <c r="A119" t="s">
        <v>51</v>
      </c>
      <c r="B119" t="s">
        <v>52</v>
      </c>
      <c r="C119" t="s">
        <v>288</v>
      </c>
      <c r="D119" t="s">
        <v>289</v>
      </c>
      <c r="E119" t="s">
        <v>73</v>
      </c>
    </row>
    <row r="120" spans="1:5" x14ac:dyDescent="0.25">
      <c r="A120" t="s">
        <v>51</v>
      </c>
      <c r="B120" t="s">
        <v>52</v>
      </c>
      <c r="C120" t="s">
        <v>290</v>
      </c>
      <c r="D120" t="s">
        <v>291</v>
      </c>
      <c r="E120" t="s">
        <v>73</v>
      </c>
    </row>
    <row r="121" spans="1:5" x14ac:dyDescent="0.25">
      <c r="A121" t="s">
        <v>51</v>
      </c>
      <c r="B121" t="s">
        <v>52</v>
      </c>
      <c r="C121" t="s">
        <v>292</v>
      </c>
      <c r="D121" t="s">
        <v>293</v>
      </c>
      <c r="E121" t="s">
        <v>73</v>
      </c>
    </row>
    <row r="122" spans="1:5" x14ac:dyDescent="0.25">
      <c r="A122" t="s">
        <v>51</v>
      </c>
      <c r="B122" t="s">
        <v>52</v>
      </c>
      <c r="C122" t="s">
        <v>294</v>
      </c>
      <c r="D122" t="s">
        <v>124</v>
      </c>
      <c r="E122" t="s">
        <v>73</v>
      </c>
    </row>
    <row r="123" spans="1:5" x14ac:dyDescent="0.25">
      <c r="A123" t="s">
        <v>51</v>
      </c>
      <c r="B123" t="s">
        <v>52</v>
      </c>
      <c r="C123" t="s">
        <v>295</v>
      </c>
      <c r="D123" t="s">
        <v>296</v>
      </c>
      <c r="E123" t="s">
        <v>73</v>
      </c>
    </row>
    <row r="124" spans="1:5" x14ac:dyDescent="0.25">
      <c r="A124" t="s">
        <v>51</v>
      </c>
      <c r="B124" t="s">
        <v>52</v>
      </c>
      <c r="C124" t="s">
        <v>297</v>
      </c>
      <c r="D124" t="s">
        <v>298</v>
      </c>
      <c r="E124" t="s">
        <v>73</v>
      </c>
    </row>
    <row r="125" spans="1:5" x14ac:dyDescent="0.25">
      <c r="A125" t="s">
        <v>51</v>
      </c>
      <c r="B125" t="s">
        <v>52</v>
      </c>
      <c r="C125" t="s">
        <v>299</v>
      </c>
      <c r="D125" t="s">
        <v>300</v>
      </c>
      <c r="E125" t="s">
        <v>73</v>
      </c>
    </row>
    <row r="126" spans="1:5" x14ac:dyDescent="0.25">
      <c r="A126" t="s">
        <v>51</v>
      </c>
      <c r="B126" t="s">
        <v>52</v>
      </c>
      <c r="C126" t="s">
        <v>301</v>
      </c>
      <c r="D126" t="s">
        <v>302</v>
      </c>
      <c r="E126" t="s">
        <v>73</v>
      </c>
    </row>
    <row r="127" spans="1:5" x14ac:dyDescent="0.25">
      <c r="A127" t="s">
        <v>51</v>
      </c>
      <c r="B127" t="s">
        <v>52</v>
      </c>
      <c r="C127" t="s">
        <v>303</v>
      </c>
      <c r="D127" t="s">
        <v>304</v>
      </c>
      <c r="E127" t="s">
        <v>73</v>
      </c>
    </row>
    <row r="128" spans="1:5" x14ac:dyDescent="0.25">
      <c r="A128" t="s">
        <v>51</v>
      </c>
      <c r="B128" t="s">
        <v>52</v>
      </c>
      <c r="C128" t="s">
        <v>305</v>
      </c>
      <c r="D128" t="s">
        <v>306</v>
      </c>
      <c r="E128" t="s">
        <v>73</v>
      </c>
    </row>
    <row r="129" spans="1:5" x14ac:dyDescent="0.25">
      <c r="A129" t="s">
        <v>51</v>
      </c>
      <c r="B129" t="s">
        <v>52</v>
      </c>
      <c r="C129" t="s">
        <v>307</v>
      </c>
      <c r="D129" t="s">
        <v>308</v>
      </c>
      <c r="E129" t="s">
        <v>73</v>
      </c>
    </row>
    <row r="130" spans="1:5" x14ac:dyDescent="0.25">
      <c r="A130" t="s">
        <v>51</v>
      </c>
      <c r="B130" t="s">
        <v>52</v>
      </c>
      <c r="C130" t="s">
        <v>309</v>
      </c>
      <c r="D130" t="s">
        <v>219</v>
      </c>
      <c r="E130" t="s">
        <v>73</v>
      </c>
    </row>
    <row r="131" spans="1:5" x14ac:dyDescent="0.25">
      <c r="A131" t="s">
        <v>51</v>
      </c>
      <c r="B131" t="s">
        <v>52</v>
      </c>
      <c r="C131" t="s">
        <v>310</v>
      </c>
      <c r="D131" t="s">
        <v>311</v>
      </c>
      <c r="E131" t="s">
        <v>73</v>
      </c>
    </row>
    <row r="132" spans="1:5" x14ac:dyDescent="0.25">
      <c r="A132" t="s">
        <v>51</v>
      </c>
      <c r="B132" t="s">
        <v>52</v>
      </c>
      <c r="C132" t="s">
        <v>312</v>
      </c>
      <c r="D132" t="s">
        <v>313</v>
      </c>
      <c r="E132" t="s">
        <v>73</v>
      </c>
    </row>
    <row r="133" spans="1:5" x14ac:dyDescent="0.25">
      <c r="A133" t="s">
        <v>51</v>
      </c>
      <c r="B133" t="s">
        <v>52</v>
      </c>
      <c r="C133" t="s">
        <v>184</v>
      </c>
      <c r="D133" t="s">
        <v>314</v>
      </c>
      <c r="E133" t="s">
        <v>73</v>
      </c>
    </row>
    <row r="134" spans="1:5" x14ac:dyDescent="0.25">
      <c r="A134" t="s">
        <v>51</v>
      </c>
      <c r="B134" t="s">
        <v>52</v>
      </c>
      <c r="C134" t="s">
        <v>315</v>
      </c>
      <c r="D134" t="s">
        <v>316</v>
      </c>
      <c r="E134" t="s">
        <v>73</v>
      </c>
    </row>
    <row r="135" spans="1:5" x14ac:dyDescent="0.25">
      <c r="A135" t="s">
        <v>51</v>
      </c>
      <c r="B135" t="s">
        <v>52</v>
      </c>
      <c r="C135" t="s">
        <v>317</v>
      </c>
      <c r="D135" t="s">
        <v>318</v>
      </c>
      <c r="E135" t="s">
        <v>73</v>
      </c>
    </row>
    <row r="136" spans="1:5" x14ac:dyDescent="0.25">
      <c r="A136" t="s">
        <v>51</v>
      </c>
      <c r="B136" t="s">
        <v>52</v>
      </c>
      <c r="C136" t="s">
        <v>319</v>
      </c>
      <c r="D136" t="s">
        <v>320</v>
      </c>
      <c r="E136" t="s">
        <v>73</v>
      </c>
    </row>
    <row r="137" spans="1:5" x14ac:dyDescent="0.25">
      <c r="A137" t="s">
        <v>53</v>
      </c>
      <c r="B137" t="s">
        <v>54</v>
      </c>
      <c r="C137" t="s">
        <v>321</v>
      </c>
      <c r="D137" t="s">
        <v>197</v>
      </c>
      <c r="E137" t="s">
        <v>73</v>
      </c>
    </row>
    <row r="138" spans="1:5" x14ac:dyDescent="0.25">
      <c r="A138" t="s">
        <v>53</v>
      </c>
      <c r="B138" t="s">
        <v>54</v>
      </c>
      <c r="C138" t="s">
        <v>322</v>
      </c>
      <c r="D138" t="s">
        <v>323</v>
      </c>
      <c r="E138" t="s">
        <v>73</v>
      </c>
    </row>
    <row r="139" spans="1:5" x14ac:dyDescent="0.25">
      <c r="A139" t="s">
        <v>53</v>
      </c>
      <c r="B139" t="s">
        <v>54</v>
      </c>
      <c r="C139" t="s">
        <v>324</v>
      </c>
      <c r="D139" t="s">
        <v>325</v>
      </c>
      <c r="E139" t="s">
        <v>73</v>
      </c>
    </row>
    <row r="140" spans="1:5" x14ac:dyDescent="0.25">
      <c r="A140" t="s">
        <v>53</v>
      </c>
      <c r="B140" t="s">
        <v>54</v>
      </c>
      <c r="C140" t="s">
        <v>326</v>
      </c>
      <c r="D140" t="s">
        <v>327</v>
      </c>
      <c r="E140" t="s">
        <v>73</v>
      </c>
    </row>
    <row r="141" spans="1:5" x14ac:dyDescent="0.25">
      <c r="A141" t="s">
        <v>53</v>
      </c>
      <c r="B141" t="s">
        <v>54</v>
      </c>
      <c r="C141" t="s">
        <v>328</v>
      </c>
      <c r="D141" t="s">
        <v>329</v>
      </c>
      <c r="E141" t="s">
        <v>73</v>
      </c>
    </row>
    <row r="142" spans="1:5" x14ac:dyDescent="0.25">
      <c r="A142" t="s">
        <v>53</v>
      </c>
      <c r="B142" t="s">
        <v>54</v>
      </c>
      <c r="C142" t="s">
        <v>330</v>
      </c>
      <c r="D142" t="s">
        <v>331</v>
      </c>
      <c r="E142" t="s">
        <v>73</v>
      </c>
    </row>
    <row r="143" spans="1:5" x14ac:dyDescent="0.25">
      <c r="A143" t="s">
        <v>53</v>
      </c>
      <c r="B143" t="s">
        <v>54</v>
      </c>
      <c r="C143" t="s">
        <v>332</v>
      </c>
      <c r="D143" t="s">
        <v>333</v>
      </c>
      <c r="E143" t="s">
        <v>73</v>
      </c>
    </row>
    <row r="144" spans="1:5" x14ac:dyDescent="0.25">
      <c r="A144" t="s">
        <v>53</v>
      </c>
      <c r="B144" t="s">
        <v>54</v>
      </c>
      <c r="C144" t="s">
        <v>53</v>
      </c>
      <c r="D144" t="s">
        <v>334</v>
      </c>
      <c r="E144" t="s">
        <v>73</v>
      </c>
    </row>
    <row r="145" spans="1:5" x14ac:dyDescent="0.25">
      <c r="A145" t="s">
        <v>53</v>
      </c>
      <c r="B145" t="s">
        <v>54</v>
      </c>
      <c r="C145" t="s">
        <v>335</v>
      </c>
      <c r="D145" t="s">
        <v>336</v>
      </c>
      <c r="E145" t="s">
        <v>73</v>
      </c>
    </row>
    <row r="146" spans="1:5" x14ac:dyDescent="0.25">
      <c r="A146" t="s">
        <v>53</v>
      </c>
      <c r="B146" t="s">
        <v>54</v>
      </c>
      <c r="C146" t="s">
        <v>337</v>
      </c>
      <c r="D146" t="s">
        <v>338</v>
      </c>
      <c r="E146" t="s">
        <v>73</v>
      </c>
    </row>
    <row r="147" spans="1:5" x14ac:dyDescent="0.25">
      <c r="A147" t="s">
        <v>53</v>
      </c>
      <c r="B147" t="s">
        <v>54</v>
      </c>
      <c r="C147" t="s">
        <v>339</v>
      </c>
      <c r="D147" t="s">
        <v>340</v>
      </c>
      <c r="E147" t="s">
        <v>73</v>
      </c>
    </row>
    <row r="148" spans="1:5" x14ac:dyDescent="0.25">
      <c r="A148" t="s">
        <v>53</v>
      </c>
      <c r="B148" t="s">
        <v>54</v>
      </c>
      <c r="C148" t="s">
        <v>341</v>
      </c>
      <c r="D148" t="s">
        <v>342</v>
      </c>
      <c r="E148" t="s">
        <v>73</v>
      </c>
    </row>
    <row r="149" spans="1:5" x14ac:dyDescent="0.25">
      <c r="A149" t="s">
        <v>53</v>
      </c>
      <c r="B149" t="s">
        <v>54</v>
      </c>
      <c r="C149" t="s">
        <v>343</v>
      </c>
      <c r="D149" t="s">
        <v>344</v>
      </c>
      <c r="E149" t="s">
        <v>73</v>
      </c>
    </row>
    <row r="150" spans="1:5" x14ac:dyDescent="0.25">
      <c r="A150" t="s">
        <v>53</v>
      </c>
      <c r="B150" t="s">
        <v>54</v>
      </c>
      <c r="C150" t="s">
        <v>345</v>
      </c>
      <c r="D150" t="s">
        <v>346</v>
      </c>
      <c r="E150" t="s">
        <v>73</v>
      </c>
    </row>
    <row r="151" spans="1:5" x14ac:dyDescent="0.25">
      <c r="A151" t="s">
        <v>53</v>
      </c>
      <c r="B151" t="s">
        <v>54</v>
      </c>
      <c r="C151" t="s">
        <v>347</v>
      </c>
      <c r="D151" t="s">
        <v>348</v>
      </c>
      <c r="E151" t="s">
        <v>73</v>
      </c>
    </row>
    <row r="152" spans="1:5" x14ac:dyDescent="0.25">
      <c r="A152" t="s">
        <v>53</v>
      </c>
      <c r="B152" t="s">
        <v>54</v>
      </c>
      <c r="C152" t="s">
        <v>349</v>
      </c>
      <c r="D152" t="s">
        <v>350</v>
      </c>
      <c r="E152" t="s">
        <v>73</v>
      </c>
    </row>
    <row r="153" spans="1:5" x14ac:dyDescent="0.25">
      <c r="A153" t="s">
        <v>53</v>
      </c>
      <c r="B153" t="s">
        <v>54</v>
      </c>
      <c r="C153" t="s">
        <v>286</v>
      </c>
      <c r="D153" t="s">
        <v>351</v>
      </c>
      <c r="E153" t="s">
        <v>73</v>
      </c>
    </row>
    <row r="154" spans="1:5" x14ac:dyDescent="0.25">
      <c r="A154" t="s">
        <v>53</v>
      </c>
      <c r="B154" t="s">
        <v>54</v>
      </c>
      <c r="C154" t="s">
        <v>352</v>
      </c>
      <c r="D154" t="s">
        <v>353</v>
      </c>
      <c r="E154" t="s">
        <v>73</v>
      </c>
    </row>
    <row r="155" spans="1:5" x14ac:dyDescent="0.25">
      <c r="A155" t="s">
        <v>53</v>
      </c>
      <c r="B155" t="s">
        <v>54</v>
      </c>
      <c r="C155" t="s">
        <v>290</v>
      </c>
      <c r="D155" t="s">
        <v>354</v>
      </c>
      <c r="E155" t="s">
        <v>73</v>
      </c>
    </row>
    <row r="156" spans="1:5" x14ac:dyDescent="0.25">
      <c r="A156" t="s">
        <v>53</v>
      </c>
      <c r="B156" t="s">
        <v>54</v>
      </c>
      <c r="C156" t="s">
        <v>355</v>
      </c>
      <c r="D156" t="s">
        <v>356</v>
      </c>
      <c r="E156" t="s">
        <v>73</v>
      </c>
    </row>
    <row r="157" spans="1:5" x14ac:dyDescent="0.25">
      <c r="A157" t="s">
        <v>53</v>
      </c>
      <c r="B157" t="s">
        <v>54</v>
      </c>
      <c r="C157" t="s">
        <v>294</v>
      </c>
      <c r="D157" t="s">
        <v>357</v>
      </c>
      <c r="E157" t="s">
        <v>73</v>
      </c>
    </row>
    <row r="158" spans="1:5" x14ac:dyDescent="0.25">
      <c r="A158" t="s">
        <v>53</v>
      </c>
      <c r="B158" t="s">
        <v>54</v>
      </c>
      <c r="C158" t="s">
        <v>358</v>
      </c>
      <c r="D158" t="s">
        <v>359</v>
      </c>
      <c r="E158" t="s">
        <v>73</v>
      </c>
    </row>
    <row r="159" spans="1:5" x14ac:dyDescent="0.25">
      <c r="A159" t="s">
        <v>53</v>
      </c>
      <c r="B159" t="s">
        <v>54</v>
      </c>
      <c r="C159" t="s">
        <v>297</v>
      </c>
      <c r="D159" t="s">
        <v>360</v>
      </c>
      <c r="E159" t="s">
        <v>73</v>
      </c>
    </row>
    <row r="160" spans="1:5" x14ac:dyDescent="0.25">
      <c r="A160" t="s">
        <v>53</v>
      </c>
      <c r="B160" t="s">
        <v>54</v>
      </c>
      <c r="C160" t="s">
        <v>361</v>
      </c>
      <c r="D160" t="s">
        <v>362</v>
      </c>
      <c r="E160" t="s">
        <v>73</v>
      </c>
    </row>
    <row r="161" spans="1:5" x14ac:dyDescent="0.25">
      <c r="A161" t="s">
        <v>53</v>
      </c>
      <c r="B161" t="s">
        <v>54</v>
      </c>
      <c r="C161" t="s">
        <v>301</v>
      </c>
      <c r="D161" t="s">
        <v>363</v>
      </c>
      <c r="E161" t="s">
        <v>73</v>
      </c>
    </row>
    <row r="162" spans="1:5" x14ac:dyDescent="0.25">
      <c r="A162" t="s">
        <v>53</v>
      </c>
      <c r="B162" t="s">
        <v>54</v>
      </c>
      <c r="C162" t="s">
        <v>364</v>
      </c>
      <c r="D162" t="s">
        <v>365</v>
      </c>
      <c r="E162" t="s">
        <v>73</v>
      </c>
    </row>
    <row r="163" spans="1:5" x14ac:dyDescent="0.25">
      <c r="A163" t="s">
        <v>53</v>
      </c>
      <c r="B163" t="s">
        <v>54</v>
      </c>
      <c r="C163" t="s">
        <v>305</v>
      </c>
      <c r="D163" t="s">
        <v>366</v>
      </c>
      <c r="E163" t="s">
        <v>73</v>
      </c>
    </row>
    <row r="164" spans="1:5" x14ac:dyDescent="0.25">
      <c r="A164" t="s">
        <v>53</v>
      </c>
      <c r="B164" t="s">
        <v>54</v>
      </c>
      <c r="C164" t="s">
        <v>367</v>
      </c>
      <c r="D164" t="s">
        <v>368</v>
      </c>
      <c r="E164" t="s">
        <v>73</v>
      </c>
    </row>
    <row r="165" spans="1:5" x14ac:dyDescent="0.25">
      <c r="A165" t="s">
        <v>53</v>
      </c>
      <c r="B165" t="s">
        <v>54</v>
      </c>
      <c r="C165" t="s">
        <v>309</v>
      </c>
      <c r="D165" t="s">
        <v>369</v>
      </c>
      <c r="E165" t="s">
        <v>73</v>
      </c>
    </row>
    <row r="166" spans="1:5" x14ac:dyDescent="0.25">
      <c r="A166" t="s">
        <v>53</v>
      </c>
      <c r="B166" t="s">
        <v>54</v>
      </c>
      <c r="C166" t="s">
        <v>20</v>
      </c>
      <c r="D166" t="s">
        <v>370</v>
      </c>
      <c r="E166" t="s">
        <v>73</v>
      </c>
    </row>
    <row r="167" spans="1:5" x14ac:dyDescent="0.25">
      <c r="A167" t="s">
        <v>53</v>
      </c>
      <c r="B167" t="s">
        <v>54</v>
      </c>
      <c r="C167" t="s">
        <v>312</v>
      </c>
      <c r="D167" t="s">
        <v>371</v>
      </c>
      <c r="E167" t="s">
        <v>73</v>
      </c>
    </row>
    <row r="168" spans="1:5" x14ac:dyDescent="0.25">
      <c r="A168" t="s">
        <v>53</v>
      </c>
      <c r="B168" t="s">
        <v>54</v>
      </c>
      <c r="C168" t="s">
        <v>372</v>
      </c>
      <c r="D168" t="s">
        <v>373</v>
      </c>
      <c r="E168" t="s">
        <v>73</v>
      </c>
    </row>
    <row r="169" spans="1:5" x14ac:dyDescent="0.25">
      <c r="A169" t="s">
        <v>53</v>
      </c>
      <c r="B169" t="s">
        <v>54</v>
      </c>
      <c r="C169" t="s">
        <v>288</v>
      </c>
      <c r="D169" t="s">
        <v>374</v>
      </c>
      <c r="E169" t="s">
        <v>73</v>
      </c>
    </row>
    <row r="170" spans="1:5" x14ac:dyDescent="0.25">
      <c r="A170" t="s">
        <v>53</v>
      </c>
      <c r="B170" t="s">
        <v>54</v>
      </c>
      <c r="C170" t="s">
        <v>375</v>
      </c>
      <c r="D170" t="s">
        <v>376</v>
      </c>
      <c r="E170" t="s">
        <v>73</v>
      </c>
    </row>
    <row r="171" spans="1:5" x14ac:dyDescent="0.25">
      <c r="A171" t="s">
        <v>53</v>
      </c>
      <c r="B171" t="s">
        <v>54</v>
      </c>
      <c r="C171" t="s">
        <v>292</v>
      </c>
      <c r="D171" t="s">
        <v>377</v>
      </c>
      <c r="E171" t="s">
        <v>73</v>
      </c>
    </row>
    <row r="172" spans="1:5" x14ac:dyDescent="0.25">
      <c r="A172" t="s">
        <v>53</v>
      </c>
      <c r="B172" t="s">
        <v>54</v>
      </c>
      <c r="C172" t="s">
        <v>378</v>
      </c>
      <c r="D172" t="s">
        <v>379</v>
      </c>
      <c r="E172" t="s">
        <v>73</v>
      </c>
    </row>
    <row r="173" spans="1:5" x14ac:dyDescent="0.25">
      <c r="A173" t="s">
        <v>53</v>
      </c>
      <c r="B173" t="s">
        <v>54</v>
      </c>
      <c r="C173" t="s">
        <v>295</v>
      </c>
      <c r="D173" t="s">
        <v>380</v>
      </c>
      <c r="E173" t="s">
        <v>73</v>
      </c>
    </row>
    <row r="174" spans="1:5" x14ac:dyDescent="0.25">
      <c r="A174" t="s">
        <v>53</v>
      </c>
      <c r="B174" t="s">
        <v>54</v>
      </c>
      <c r="C174" t="s">
        <v>381</v>
      </c>
      <c r="D174" t="s">
        <v>382</v>
      </c>
      <c r="E174" t="s">
        <v>73</v>
      </c>
    </row>
    <row r="175" spans="1:5" x14ac:dyDescent="0.25">
      <c r="A175" t="s">
        <v>53</v>
      </c>
      <c r="B175" t="s">
        <v>54</v>
      </c>
      <c r="C175" t="s">
        <v>299</v>
      </c>
      <c r="D175" t="s">
        <v>383</v>
      </c>
      <c r="E175" t="s">
        <v>73</v>
      </c>
    </row>
    <row r="176" spans="1:5" x14ac:dyDescent="0.25">
      <c r="A176" t="s">
        <v>53</v>
      </c>
      <c r="B176" t="s">
        <v>54</v>
      </c>
      <c r="C176" t="s">
        <v>384</v>
      </c>
      <c r="D176" t="s">
        <v>385</v>
      </c>
      <c r="E176" t="s">
        <v>73</v>
      </c>
    </row>
    <row r="177" spans="1:5" x14ac:dyDescent="0.25">
      <c r="A177" t="s">
        <v>53</v>
      </c>
      <c r="B177" t="s">
        <v>54</v>
      </c>
      <c r="C177" t="s">
        <v>386</v>
      </c>
      <c r="D177" t="s">
        <v>387</v>
      </c>
      <c r="E177" t="s">
        <v>73</v>
      </c>
    </row>
    <row r="178" spans="1:5" x14ac:dyDescent="0.25">
      <c r="A178" t="s">
        <v>53</v>
      </c>
      <c r="B178" t="s">
        <v>54</v>
      </c>
      <c r="C178" t="s">
        <v>388</v>
      </c>
      <c r="D178" t="s">
        <v>389</v>
      </c>
      <c r="E178" t="s">
        <v>73</v>
      </c>
    </row>
    <row r="179" spans="1:5" x14ac:dyDescent="0.25">
      <c r="A179" t="s">
        <v>53</v>
      </c>
      <c r="B179" t="s">
        <v>54</v>
      </c>
      <c r="C179" t="s">
        <v>303</v>
      </c>
      <c r="D179" t="s">
        <v>390</v>
      </c>
      <c r="E179" t="s">
        <v>73</v>
      </c>
    </row>
    <row r="180" spans="1:5" x14ac:dyDescent="0.25">
      <c r="A180" t="s">
        <v>53</v>
      </c>
      <c r="B180" t="s">
        <v>54</v>
      </c>
      <c r="C180" t="s">
        <v>391</v>
      </c>
      <c r="D180" t="s">
        <v>392</v>
      </c>
      <c r="E180" t="s">
        <v>73</v>
      </c>
    </row>
    <row r="181" spans="1:5" x14ac:dyDescent="0.25">
      <c r="A181" t="s">
        <v>53</v>
      </c>
      <c r="B181" t="s">
        <v>54</v>
      </c>
      <c r="C181" t="s">
        <v>307</v>
      </c>
      <c r="D181" t="s">
        <v>393</v>
      </c>
      <c r="E181" t="s">
        <v>73</v>
      </c>
    </row>
    <row r="182" spans="1:5" x14ac:dyDescent="0.25">
      <c r="A182" t="s">
        <v>53</v>
      </c>
      <c r="B182" t="s">
        <v>54</v>
      </c>
      <c r="C182" t="s">
        <v>394</v>
      </c>
      <c r="D182" t="s">
        <v>395</v>
      </c>
      <c r="E182" t="s">
        <v>73</v>
      </c>
    </row>
    <row r="183" spans="1:5" x14ac:dyDescent="0.25">
      <c r="A183" t="s">
        <v>53</v>
      </c>
      <c r="B183" t="s">
        <v>54</v>
      </c>
      <c r="C183" t="s">
        <v>315</v>
      </c>
      <c r="D183" t="s">
        <v>396</v>
      </c>
      <c r="E183" t="s">
        <v>73</v>
      </c>
    </row>
    <row r="184" spans="1:5" x14ac:dyDescent="0.25">
      <c r="A184" t="s">
        <v>53</v>
      </c>
      <c r="B184" t="s">
        <v>54</v>
      </c>
      <c r="C184" t="s">
        <v>397</v>
      </c>
      <c r="D184" t="s">
        <v>398</v>
      </c>
      <c r="E184" t="s">
        <v>73</v>
      </c>
    </row>
    <row r="185" spans="1:5" x14ac:dyDescent="0.25">
      <c r="A185" t="s">
        <v>53</v>
      </c>
      <c r="B185" t="s">
        <v>54</v>
      </c>
      <c r="C185" t="s">
        <v>319</v>
      </c>
      <c r="D185" t="s">
        <v>399</v>
      </c>
      <c r="E185" t="s">
        <v>73</v>
      </c>
    </row>
    <row r="186" spans="1:5" x14ac:dyDescent="0.25">
      <c r="A186" t="s">
        <v>53</v>
      </c>
      <c r="B186" t="s">
        <v>54</v>
      </c>
      <c r="C186" t="s">
        <v>400</v>
      </c>
      <c r="D186" t="s">
        <v>401</v>
      </c>
      <c r="E186" t="s">
        <v>73</v>
      </c>
    </row>
    <row r="187" spans="1:5" x14ac:dyDescent="0.25">
      <c r="A187" t="s">
        <v>53</v>
      </c>
      <c r="B187" t="s">
        <v>54</v>
      </c>
      <c r="C187" t="s">
        <v>317</v>
      </c>
      <c r="D187" t="s">
        <v>402</v>
      </c>
      <c r="E187" t="s">
        <v>73</v>
      </c>
    </row>
    <row r="188" spans="1:5" x14ac:dyDescent="0.25">
      <c r="A188" t="s">
        <v>53</v>
      </c>
      <c r="B188" t="s">
        <v>54</v>
      </c>
      <c r="C188" t="s">
        <v>403</v>
      </c>
      <c r="D188" t="s">
        <v>404</v>
      </c>
      <c r="E188" t="s">
        <v>73</v>
      </c>
    </row>
    <row r="189" spans="1:5" x14ac:dyDescent="0.25">
      <c r="A189" t="s">
        <v>53</v>
      </c>
      <c r="B189" t="s">
        <v>54</v>
      </c>
      <c r="C189" t="s">
        <v>405</v>
      </c>
      <c r="D189" t="s">
        <v>406</v>
      </c>
      <c r="E189" t="s">
        <v>73</v>
      </c>
    </row>
    <row r="190" spans="1:5" x14ac:dyDescent="0.25">
      <c r="A190" t="s">
        <v>53</v>
      </c>
      <c r="B190" t="s">
        <v>54</v>
      </c>
      <c r="C190" t="s">
        <v>407</v>
      </c>
      <c r="D190" t="s">
        <v>408</v>
      </c>
      <c r="E190" t="s">
        <v>73</v>
      </c>
    </row>
    <row r="191" spans="1:5" x14ac:dyDescent="0.25">
      <c r="A191" t="s">
        <v>53</v>
      </c>
      <c r="B191" t="s">
        <v>54</v>
      </c>
      <c r="C191" t="s">
        <v>409</v>
      </c>
      <c r="D191" t="s">
        <v>410</v>
      </c>
      <c r="E191" t="s">
        <v>73</v>
      </c>
    </row>
    <row r="192" spans="1:5" x14ac:dyDescent="0.25">
      <c r="A192" t="s">
        <v>53</v>
      </c>
      <c r="B192" t="s">
        <v>54</v>
      </c>
      <c r="C192" t="s">
        <v>411</v>
      </c>
      <c r="D192" t="s">
        <v>412</v>
      </c>
      <c r="E192" t="s">
        <v>73</v>
      </c>
    </row>
    <row r="193" spans="1:5" x14ac:dyDescent="0.25">
      <c r="A193" t="s">
        <v>53</v>
      </c>
      <c r="B193" t="s">
        <v>54</v>
      </c>
      <c r="C193" t="s">
        <v>413</v>
      </c>
      <c r="D193" t="s">
        <v>414</v>
      </c>
      <c r="E193" t="s">
        <v>73</v>
      </c>
    </row>
    <row r="194" spans="1:5" x14ac:dyDescent="0.25">
      <c r="A194" t="s">
        <v>53</v>
      </c>
      <c r="B194" t="s">
        <v>54</v>
      </c>
      <c r="C194" t="s">
        <v>415</v>
      </c>
      <c r="D194" t="s">
        <v>416</v>
      </c>
      <c r="E194" t="s">
        <v>73</v>
      </c>
    </row>
    <row r="195" spans="1:5" x14ac:dyDescent="0.25">
      <c r="A195" t="s">
        <v>53</v>
      </c>
      <c r="B195" t="s">
        <v>54</v>
      </c>
      <c r="C195" t="s">
        <v>48</v>
      </c>
      <c r="D195" t="s">
        <v>417</v>
      </c>
      <c r="E195" t="s">
        <v>73</v>
      </c>
    </row>
    <row r="196" spans="1:5" x14ac:dyDescent="0.25">
      <c r="A196" t="s">
        <v>53</v>
      </c>
      <c r="B196" t="s">
        <v>54</v>
      </c>
      <c r="C196" t="s">
        <v>418</v>
      </c>
      <c r="D196" t="s">
        <v>419</v>
      </c>
      <c r="E196" t="s">
        <v>73</v>
      </c>
    </row>
    <row r="197" spans="1:5" x14ac:dyDescent="0.25">
      <c r="A197" t="s">
        <v>53</v>
      </c>
      <c r="B197" t="s">
        <v>54</v>
      </c>
      <c r="C197" t="s">
        <v>420</v>
      </c>
      <c r="D197" t="s">
        <v>421</v>
      </c>
      <c r="E197" t="s">
        <v>73</v>
      </c>
    </row>
    <row r="198" spans="1:5" x14ac:dyDescent="0.25">
      <c r="A198" t="s">
        <v>53</v>
      </c>
      <c r="B198" t="s">
        <v>54</v>
      </c>
      <c r="C198" t="s">
        <v>422</v>
      </c>
      <c r="D198" t="s">
        <v>423</v>
      </c>
      <c r="E198" t="s">
        <v>73</v>
      </c>
    </row>
    <row r="199" spans="1:5" x14ac:dyDescent="0.25">
      <c r="A199" t="s">
        <v>53</v>
      </c>
      <c r="B199" t="s">
        <v>54</v>
      </c>
      <c r="C199" t="s">
        <v>424</v>
      </c>
      <c r="D199" t="s">
        <v>425</v>
      </c>
      <c r="E199" t="s">
        <v>73</v>
      </c>
    </row>
    <row r="200" spans="1:5" x14ac:dyDescent="0.25">
      <c r="A200" t="s">
        <v>53</v>
      </c>
      <c r="B200" t="s">
        <v>54</v>
      </c>
      <c r="C200" t="s">
        <v>426</v>
      </c>
      <c r="D200" t="s">
        <v>427</v>
      </c>
      <c r="E200" t="s">
        <v>73</v>
      </c>
    </row>
    <row r="201" spans="1:5" x14ac:dyDescent="0.25">
      <c r="A201" t="s">
        <v>53</v>
      </c>
      <c r="B201" t="s">
        <v>54</v>
      </c>
      <c r="C201" t="s">
        <v>51</v>
      </c>
      <c r="D201" t="s">
        <v>428</v>
      </c>
      <c r="E201" t="s">
        <v>73</v>
      </c>
    </row>
    <row r="202" spans="1:5" x14ac:dyDescent="0.25">
      <c r="A202" t="s">
        <v>53</v>
      </c>
      <c r="B202" t="s">
        <v>54</v>
      </c>
      <c r="C202" t="s">
        <v>429</v>
      </c>
      <c r="D202" t="s">
        <v>430</v>
      </c>
      <c r="E202" t="s">
        <v>73</v>
      </c>
    </row>
    <row r="203" spans="1:5" x14ac:dyDescent="0.25">
      <c r="A203" t="s">
        <v>53</v>
      </c>
      <c r="B203" t="s">
        <v>54</v>
      </c>
      <c r="C203" t="s">
        <v>431</v>
      </c>
      <c r="D203" t="s">
        <v>432</v>
      </c>
      <c r="E203" t="s">
        <v>73</v>
      </c>
    </row>
    <row r="204" spans="1:5" x14ac:dyDescent="0.25">
      <c r="A204" t="s">
        <v>53</v>
      </c>
      <c r="B204" t="s">
        <v>54</v>
      </c>
      <c r="C204" t="s">
        <v>433</v>
      </c>
      <c r="D204" t="s">
        <v>434</v>
      </c>
      <c r="E204" t="s">
        <v>73</v>
      </c>
    </row>
    <row r="205" spans="1:5" x14ac:dyDescent="0.25">
      <c r="A205" t="s">
        <v>53</v>
      </c>
      <c r="B205" t="s">
        <v>54</v>
      </c>
      <c r="C205" t="s">
        <v>435</v>
      </c>
      <c r="D205" t="s">
        <v>436</v>
      </c>
      <c r="E205" t="s">
        <v>73</v>
      </c>
    </row>
    <row r="206" spans="1:5" x14ac:dyDescent="0.25">
      <c r="A206" t="s">
        <v>53</v>
      </c>
      <c r="B206" t="s">
        <v>54</v>
      </c>
      <c r="C206" t="s">
        <v>184</v>
      </c>
      <c r="D206" t="s">
        <v>437</v>
      </c>
      <c r="E206" t="s">
        <v>73</v>
      </c>
    </row>
    <row r="207" spans="1:5" x14ac:dyDescent="0.25">
      <c r="A207" t="s">
        <v>56</v>
      </c>
      <c r="B207" t="s">
        <v>57</v>
      </c>
      <c r="C207" t="s">
        <v>324</v>
      </c>
      <c r="D207" t="s">
        <v>438</v>
      </c>
      <c r="E207" t="s">
        <v>43</v>
      </c>
    </row>
    <row r="208" spans="1:5" x14ac:dyDescent="0.25">
      <c r="A208" t="s">
        <v>56</v>
      </c>
      <c r="B208" t="s">
        <v>57</v>
      </c>
      <c r="C208" t="s">
        <v>439</v>
      </c>
      <c r="D208" t="s">
        <v>440</v>
      </c>
      <c r="E208" t="s">
        <v>43</v>
      </c>
    </row>
    <row r="209" spans="1:5" x14ac:dyDescent="0.25">
      <c r="A209" t="s">
        <v>56</v>
      </c>
      <c r="B209" t="s">
        <v>57</v>
      </c>
      <c r="C209" t="s">
        <v>328</v>
      </c>
      <c r="D209" t="s">
        <v>441</v>
      </c>
      <c r="E209" t="s">
        <v>43</v>
      </c>
    </row>
    <row r="210" spans="1:5" x14ac:dyDescent="0.25">
      <c r="A210" t="s">
        <v>56</v>
      </c>
      <c r="B210" t="s">
        <v>57</v>
      </c>
      <c r="C210" t="s">
        <v>442</v>
      </c>
      <c r="D210" t="s">
        <v>224</v>
      </c>
      <c r="E210" t="s">
        <v>43</v>
      </c>
    </row>
    <row r="211" spans="1:5" x14ac:dyDescent="0.25">
      <c r="A211" t="s">
        <v>56</v>
      </c>
      <c r="B211" t="s">
        <v>57</v>
      </c>
      <c r="C211" t="s">
        <v>332</v>
      </c>
      <c r="D211" t="s">
        <v>443</v>
      </c>
      <c r="E211" t="s">
        <v>43</v>
      </c>
    </row>
    <row r="212" spans="1:5" x14ac:dyDescent="0.25">
      <c r="A212" t="s">
        <v>56</v>
      </c>
      <c r="B212" t="s">
        <v>57</v>
      </c>
      <c r="C212" t="s">
        <v>444</v>
      </c>
      <c r="D212" t="s">
        <v>445</v>
      </c>
      <c r="E212" t="s">
        <v>43</v>
      </c>
    </row>
    <row r="213" spans="1:5" x14ac:dyDescent="0.25">
      <c r="A213" t="s">
        <v>56</v>
      </c>
      <c r="B213" t="s">
        <v>57</v>
      </c>
      <c r="C213" t="s">
        <v>335</v>
      </c>
      <c r="D213" t="s">
        <v>446</v>
      </c>
      <c r="E213" t="s">
        <v>43</v>
      </c>
    </row>
    <row r="214" spans="1:5" x14ac:dyDescent="0.25">
      <c r="A214" t="s">
        <v>56</v>
      </c>
      <c r="B214" t="s">
        <v>57</v>
      </c>
      <c r="C214" t="s">
        <v>347</v>
      </c>
      <c r="D214" t="s">
        <v>447</v>
      </c>
      <c r="E214" t="s">
        <v>43</v>
      </c>
    </row>
    <row r="215" spans="1:5" x14ac:dyDescent="0.25">
      <c r="A215" t="s">
        <v>56</v>
      </c>
      <c r="B215" t="s">
        <v>57</v>
      </c>
      <c r="C215" t="s">
        <v>339</v>
      </c>
      <c r="D215" t="s">
        <v>448</v>
      </c>
      <c r="E215" t="s">
        <v>43</v>
      </c>
    </row>
    <row r="216" spans="1:5" x14ac:dyDescent="0.25">
      <c r="A216" t="s">
        <v>56</v>
      </c>
      <c r="B216" t="s">
        <v>57</v>
      </c>
      <c r="C216" t="s">
        <v>184</v>
      </c>
      <c r="D216" t="s">
        <v>449</v>
      </c>
      <c r="E216" t="s">
        <v>43</v>
      </c>
    </row>
    <row r="217" spans="1:5" x14ac:dyDescent="0.25">
      <c r="A217" t="s">
        <v>56</v>
      </c>
      <c r="B217" t="s">
        <v>57</v>
      </c>
      <c r="C217" t="s">
        <v>343</v>
      </c>
      <c r="D217" t="s">
        <v>206</v>
      </c>
      <c r="E217" t="s">
        <v>43</v>
      </c>
    </row>
    <row r="218" spans="1:5" x14ac:dyDescent="0.25">
      <c r="A218" t="s">
        <v>59</v>
      </c>
      <c r="B218" t="s">
        <v>60</v>
      </c>
      <c r="C218" t="s">
        <v>324</v>
      </c>
      <c r="D218" t="s">
        <v>450</v>
      </c>
      <c r="E218" t="s">
        <v>43</v>
      </c>
    </row>
    <row r="219" spans="1:5" x14ac:dyDescent="0.25">
      <c r="A219" t="s">
        <v>59</v>
      </c>
      <c r="B219" t="s">
        <v>60</v>
      </c>
      <c r="C219" t="s">
        <v>347</v>
      </c>
      <c r="D219" t="s">
        <v>451</v>
      </c>
      <c r="E219" t="s">
        <v>43</v>
      </c>
    </row>
    <row r="220" spans="1:5" x14ac:dyDescent="0.25">
      <c r="A220" t="s">
        <v>59</v>
      </c>
      <c r="B220" t="s">
        <v>60</v>
      </c>
      <c r="C220" t="s">
        <v>328</v>
      </c>
      <c r="D220" t="s">
        <v>452</v>
      </c>
      <c r="E220" t="s">
        <v>43</v>
      </c>
    </row>
    <row r="221" spans="1:5" x14ac:dyDescent="0.25">
      <c r="A221" t="s">
        <v>59</v>
      </c>
      <c r="B221" t="s">
        <v>60</v>
      </c>
      <c r="C221" t="s">
        <v>286</v>
      </c>
      <c r="D221" t="s">
        <v>453</v>
      </c>
      <c r="E221" t="s">
        <v>43</v>
      </c>
    </row>
    <row r="222" spans="1:5" x14ac:dyDescent="0.25">
      <c r="A222" t="s">
        <v>59</v>
      </c>
      <c r="B222" t="s">
        <v>60</v>
      </c>
      <c r="C222" t="s">
        <v>332</v>
      </c>
      <c r="D222" t="s">
        <v>454</v>
      </c>
      <c r="E222" t="s">
        <v>43</v>
      </c>
    </row>
    <row r="223" spans="1:5" x14ac:dyDescent="0.25">
      <c r="A223" t="s">
        <v>59</v>
      </c>
      <c r="B223" t="s">
        <v>60</v>
      </c>
      <c r="C223" t="s">
        <v>290</v>
      </c>
      <c r="D223" t="s">
        <v>455</v>
      </c>
      <c r="E223" t="s">
        <v>43</v>
      </c>
    </row>
    <row r="224" spans="1:5" x14ac:dyDescent="0.25">
      <c r="A224" t="s">
        <v>59</v>
      </c>
      <c r="B224" t="s">
        <v>60</v>
      </c>
      <c r="C224" t="s">
        <v>335</v>
      </c>
      <c r="D224" t="s">
        <v>456</v>
      </c>
      <c r="E224" t="s">
        <v>43</v>
      </c>
    </row>
    <row r="225" spans="1:5" x14ac:dyDescent="0.25">
      <c r="A225" t="s">
        <v>59</v>
      </c>
      <c r="B225" t="s">
        <v>60</v>
      </c>
      <c r="C225" t="s">
        <v>294</v>
      </c>
      <c r="D225" t="s">
        <v>231</v>
      </c>
      <c r="E225" t="s">
        <v>43</v>
      </c>
    </row>
    <row r="226" spans="1:5" x14ac:dyDescent="0.25">
      <c r="A226" t="s">
        <v>59</v>
      </c>
      <c r="B226" t="s">
        <v>60</v>
      </c>
      <c r="C226" t="s">
        <v>339</v>
      </c>
      <c r="D226" t="s">
        <v>457</v>
      </c>
      <c r="E226" t="s">
        <v>43</v>
      </c>
    </row>
    <row r="227" spans="1:5" x14ac:dyDescent="0.25">
      <c r="A227" t="s">
        <v>59</v>
      </c>
      <c r="B227" t="s">
        <v>60</v>
      </c>
      <c r="C227" t="s">
        <v>297</v>
      </c>
      <c r="D227" t="s">
        <v>458</v>
      </c>
      <c r="E227" t="s">
        <v>43</v>
      </c>
    </row>
    <row r="228" spans="1:5" x14ac:dyDescent="0.25">
      <c r="A228" t="s">
        <v>59</v>
      </c>
      <c r="B228" t="s">
        <v>60</v>
      </c>
      <c r="C228" t="s">
        <v>343</v>
      </c>
      <c r="D228" t="s">
        <v>459</v>
      </c>
      <c r="E228" t="s">
        <v>43</v>
      </c>
    </row>
    <row r="229" spans="1:5" x14ac:dyDescent="0.25">
      <c r="A229" t="s">
        <v>59</v>
      </c>
      <c r="B229" t="s">
        <v>60</v>
      </c>
      <c r="C229" t="s">
        <v>301</v>
      </c>
      <c r="D229" t="s">
        <v>460</v>
      </c>
      <c r="E229" t="s">
        <v>43</v>
      </c>
    </row>
    <row r="230" spans="1:5" x14ac:dyDescent="0.25">
      <c r="A230" t="s">
        <v>59</v>
      </c>
      <c r="B230" t="s">
        <v>60</v>
      </c>
      <c r="C230" t="s">
        <v>439</v>
      </c>
      <c r="D230" t="s">
        <v>461</v>
      </c>
      <c r="E230" t="s">
        <v>43</v>
      </c>
    </row>
    <row r="231" spans="1:5" x14ac:dyDescent="0.25">
      <c r="A231" t="s">
        <v>59</v>
      </c>
      <c r="B231" t="s">
        <v>60</v>
      </c>
      <c r="C231" t="s">
        <v>303</v>
      </c>
      <c r="D231" t="s">
        <v>303</v>
      </c>
      <c r="E231" t="s">
        <v>43</v>
      </c>
    </row>
    <row r="232" spans="1:5" x14ac:dyDescent="0.25">
      <c r="A232" t="s">
        <v>59</v>
      </c>
      <c r="B232" t="s">
        <v>60</v>
      </c>
      <c r="C232" t="s">
        <v>442</v>
      </c>
      <c r="D232" t="s">
        <v>462</v>
      </c>
      <c r="E232" t="s">
        <v>43</v>
      </c>
    </row>
    <row r="233" spans="1:5" x14ac:dyDescent="0.25">
      <c r="A233" t="s">
        <v>59</v>
      </c>
      <c r="B233" t="s">
        <v>60</v>
      </c>
      <c r="C233" t="s">
        <v>184</v>
      </c>
      <c r="D233" t="s">
        <v>463</v>
      </c>
      <c r="E233" t="s">
        <v>43</v>
      </c>
    </row>
    <row r="234" spans="1:5" x14ac:dyDescent="0.25">
      <c r="A234" t="s">
        <v>59</v>
      </c>
      <c r="B234" t="s">
        <v>60</v>
      </c>
      <c r="C234" t="s">
        <v>444</v>
      </c>
      <c r="D234" t="s">
        <v>228</v>
      </c>
      <c r="E234" t="s">
        <v>43</v>
      </c>
    </row>
    <row r="235" spans="1:5" x14ac:dyDescent="0.25">
      <c r="A235" t="s">
        <v>61</v>
      </c>
      <c r="B235" t="s">
        <v>62</v>
      </c>
      <c r="C235" t="s">
        <v>324</v>
      </c>
      <c r="D235" t="s">
        <v>464</v>
      </c>
      <c r="E235" t="s">
        <v>43</v>
      </c>
    </row>
    <row r="236" spans="1:5" x14ac:dyDescent="0.25">
      <c r="A236" t="s">
        <v>61</v>
      </c>
      <c r="B236" t="s">
        <v>62</v>
      </c>
      <c r="C236" t="s">
        <v>347</v>
      </c>
      <c r="D236" t="s">
        <v>465</v>
      </c>
      <c r="E236" t="s">
        <v>43</v>
      </c>
    </row>
    <row r="237" spans="1:5" x14ac:dyDescent="0.25">
      <c r="A237" t="s">
        <v>61</v>
      </c>
      <c r="B237" t="s">
        <v>62</v>
      </c>
      <c r="C237" t="s">
        <v>328</v>
      </c>
      <c r="D237" t="s">
        <v>466</v>
      </c>
      <c r="E237" t="s">
        <v>43</v>
      </c>
    </row>
    <row r="238" spans="1:5" x14ac:dyDescent="0.25">
      <c r="A238" t="s">
        <v>61</v>
      </c>
      <c r="B238" t="s">
        <v>62</v>
      </c>
      <c r="C238" t="s">
        <v>286</v>
      </c>
      <c r="D238" t="s">
        <v>467</v>
      </c>
      <c r="E238" t="s">
        <v>43</v>
      </c>
    </row>
    <row r="239" spans="1:5" x14ac:dyDescent="0.25">
      <c r="A239" t="s">
        <v>61</v>
      </c>
      <c r="B239" t="s">
        <v>62</v>
      </c>
      <c r="C239" t="s">
        <v>332</v>
      </c>
      <c r="D239" t="s">
        <v>468</v>
      </c>
      <c r="E239" t="s">
        <v>43</v>
      </c>
    </row>
    <row r="240" spans="1:5" x14ac:dyDescent="0.25">
      <c r="A240" t="s">
        <v>61</v>
      </c>
      <c r="B240" t="s">
        <v>62</v>
      </c>
      <c r="C240" t="s">
        <v>290</v>
      </c>
      <c r="D240" t="s">
        <v>469</v>
      </c>
      <c r="E240" t="s">
        <v>43</v>
      </c>
    </row>
    <row r="241" spans="1:5" x14ac:dyDescent="0.25">
      <c r="A241" t="s">
        <v>61</v>
      </c>
      <c r="B241" t="s">
        <v>62</v>
      </c>
      <c r="C241" t="s">
        <v>335</v>
      </c>
      <c r="D241" t="s">
        <v>470</v>
      </c>
      <c r="E241" t="s">
        <v>43</v>
      </c>
    </row>
    <row r="242" spans="1:5" x14ac:dyDescent="0.25">
      <c r="A242" t="s">
        <v>61</v>
      </c>
      <c r="B242" t="s">
        <v>62</v>
      </c>
      <c r="C242" t="s">
        <v>294</v>
      </c>
      <c r="D242" t="s">
        <v>471</v>
      </c>
      <c r="E242" t="s">
        <v>43</v>
      </c>
    </row>
    <row r="243" spans="1:5" x14ac:dyDescent="0.25">
      <c r="A243" t="s">
        <v>61</v>
      </c>
      <c r="B243" t="s">
        <v>62</v>
      </c>
      <c r="C243" t="s">
        <v>339</v>
      </c>
      <c r="D243" t="s">
        <v>472</v>
      </c>
      <c r="E243" t="s">
        <v>43</v>
      </c>
    </row>
    <row r="244" spans="1:5" x14ac:dyDescent="0.25">
      <c r="A244" t="s">
        <v>61</v>
      </c>
      <c r="B244" t="s">
        <v>62</v>
      </c>
      <c r="C244" t="s">
        <v>297</v>
      </c>
      <c r="D244" t="s">
        <v>473</v>
      </c>
      <c r="E244" t="s">
        <v>43</v>
      </c>
    </row>
    <row r="245" spans="1:5" x14ac:dyDescent="0.25">
      <c r="A245" t="s">
        <v>61</v>
      </c>
      <c r="B245" t="s">
        <v>62</v>
      </c>
      <c r="C245" t="s">
        <v>343</v>
      </c>
      <c r="D245" t="s">
        <v>474</v>
      </c>
      <c r="E245" t="s">
        <v>43</v>
      </c>
    </row>
    <row r="246" spans="1:5" x14ac:dyDescent="0.25">
      <c r="A246" t="s">
        <v>61</v>
      </c>
      <c r="B246" t="s">
        <v>62</v>
      </c>
      <c r="C246" t="s">
        <v>301</v>
      </c>
      <c r="D246" t="s">
        <v>475</v>
      </c>
      <c r="E246" t="s">
        <v>43</v>
      </c>
    </row>
    <row r="247" spans="1:5" x14ac:dyDescent="0.25">
      <c r="A247" t="s">
        <v>61</v>
      </c>
      <c r="B247" t="s">
        <v>62</v>
      </c>
      <c r="C247" t="s">
        <v>439</v>
      </c>
      <c r="D247" t="s">
        <v>476</v>
      </c>
      <c r="E247" t="s">
        <v>43</v>
      </c>
    </row>
    <row r="248" spans="1:5" x14ac:dyDescent="0.25">
      <c r="A248" t="s">
        <v>61</v>
      </c>
      <c r="B248" t="s">
        <v>62</v>
      </c>
      <c r="C248" t="s">
        <v>288</v>
      </c>
      <c r="D248" t="s">
        <v>477</v>
      </c>
      <c r="E248" t="s">
        <v>43</v>
      </c>
    </row>
    <row r="249" spans="1:5" x14ac:dyDescent="0.25">
      <c r="A249" t="s">
        <v>61</v>
      </c>
      <c r="B249" t="s">
        <v>62</v>
      </c>
      <c r="C249" t="s">
        <v>442</v>
      </c>
      <c r="D249" t="s">
        <v>478</v>
      </c>
      <c r="E249" t="s">
        <v>43</v>
      </c>
    </row>
    <row r="250" spans="1:5" x14ac:dyDescent="0.25">
      <c r="A250" t="s">
        <v>61</v>
      </c>
      <c r="B250" t="s">
        <v>62</v>
      </c>
      <c r="C250" t="s">
        <v>184</v>
      </c>
      <c r="D250" t="s">
        <v>479</v>
      </c>
      <c r="E250" t="s">
        <v>43</v>
      </c>
    </row>
    <row r="251" spans="1:5" x14ac:dyDescent="0.25">
      <c r="A251" t="s">
        <v>61</v>
      </c>
      <c r="B251" t="s">
        <v>62</v>
      </c>
      <c r="C251" t="s">
        <v>444</v>
      </c>
      <c r="D251" t="s">
        <v>480</v>
      </c>
      <c r="E251" t="s">
        <v>43</v>
      </c>
    </row>
    <row r="252" spans="1:5" x14ac:dyDescent="0.25">
      <c r="A252" t="s">
        <v>40</v>
      </c>
      <c r="B252" t="s">
        <v>63</v>
      </c>
      <c r="C252" t="s">
        <v>324</v>
      </c>
      <c r="D252" t="s">
        <v>481</v>
      </c>
      <c r="E252" t="s">
        <v>43</v>
      </c>
    </row>
    <row r="253" spans="1:5" x14ac:dyDescent="0.25">
      <c r="A253" t="s">
        <v>40</v>
      </c>
      <c r="B253" t="s">
        <v>63</v>
      </c>
      <c r="C253" t="s">
        <v>312</v>
      </c>
      <c r="D253" t="s">
        <v>482</v>
      </c>
      <c r="E253" t="s">
        <v>43</v>
      </c>
    </row>
    <row r="254" spans="1:5" x14ac:dyDescent="0.25">
      <c r="A254" t="s">
        <v>40</v>
      </c>
      <c r="B254" t="s">
        <v>63</v>
      </c>
      <c r="C254" t="s">
        <v>328</v>
      </c>
      <c r="D254" t="s">
        <v>483</v>
      </c>
      <c r="E254" t="s">
        <v>43</v>
      </c>
    </row>
    <row r="255" spans="1:5" x14ac:dyDescent="0.25">
      <c r="A255" t="s">
        <v>40</v>
      </c>
      <c r="B255" t="s">
        <v>63</v>
      </c>
      <c r="C255" t="s">
        <v>288</v>
      </c>
      <c r="D255" t="s">
        <v>484</v>
      </c>
      <c r="E255" t="s">
        <v>43</v>
      </c>
    </row>
    <row r="256" spans="1:5" x14ac:dyDescent="0.25">
      <c r="A256" t="s">
        <v>40</v>
      </c>
      <c r="B256" t="s">
        <v>63</v>
      </c>
      <c r="C256" t="s">
        <v>332</v>
      </c>
      <c r="D256" t="s">
        <v>485</v>
      </c>
      <c r="E256" t="s">
        <v>43</v>
      </c>
    </row>
    <row r="257" spans="1:5" x14ac:dyDescent="0.25">
      <c r="A257" t="s">
        <v>40</v>
      </c>
      <c r="B257" t="s">
        <v>63</v>
      </c>
      <c r="C257" t="s">
        <v>292</v>
      </c>
      <c r="D257" t="s">
        <v>486</v>
      </c>
      <c r="E257" t="s">
        <v>43</v>
      </c>
    </row>
    <row r="258" spans="1:5" x14ac:dyDescent="0.25">
      <c r="A258" t="s">
        <v>40</v>
      </c>
      <c r="B258" t="s">
        <v>63</v>
      </c>
      <c r="C258" t="s">
        <v>335</v>
      </c>
      <c r="D258" t="s">
        <v>487</v>
      </c>
      <c r="E258" t="s">
        <v>43</v>
      </c>
    </row>
    <row r="259" spans="1:5" x14ac:dyDescent="0.25">
      <c r="A259" t="s">
        <v>40</v>
      </c>
      <c r="B259" t="s">
        <v>63</v>
      </c>
      <c r="C259" t="s">
        <v>295</v>
      </c>
      <c r="D259" t="s">
        <v>488</v>
      </c>
      <c r="E259" t="s">
        <v>43</v>
      </c>
    </row>
    <row r="260" spans="1:5" x14ac:dyDescent="0.25">
      <c r="A260" t="s">
        <v>40</v>
      </c>
      <c r="B260" t="s">
        <v>63</v>
      </c>
      <c r="C260" t="s">
        <v>339</v>
      </c>
      <c r="D260" t="s">
        <v>489</v>
      </c>
      <c r="E260" t="s">
        <v>43</v>
      </c>
    </row>
    <row r="261" spans="1:5" x14ac:dyDescent="0.25">
      <c r="A261" t="s">
        <v>40</v>
      </c>
      <c r="B261" t="s">
        <v>63</v>
      </c>
      <c r="C261" t="s">
        <v>299</v>
      </c>
      <c r="D261" t="s">
        <v>490</v>
      </c>
      <c r="E261" t="s">
        <v>43</v>
      </c>
    </row>
    <row r="262" spans="1:5" x14ac:dyDescent="0.25">
      <c r="A262" t="s">
        <v>40</v>
      </c>
      <c r="B262" t="s">
        <v>63</v>
      </c>
      <c r="C262" t="s">
        <v>343</v>
      </c>
      <c r="D262" t="s">
        <v>114</v>
      </c>
      <c r="E262" t="s">
        <v>43</v>
      </c>
    </row>
    <row r="263" spans="1:5" x14ac:dyDescent="0.25">
      <c r="A263" t="s">
        <v>40</v>
      </c>
      <c r="B263" t="s">
        <v>63</v>
      </c>
      <c r="C263" t="s">
        <v>386</v>
      </c>
      <c r="D263" t="s">
        <v>491</v>
      </c>
      <c r="E263" t="s">
        <v>43</v>
      </c>
    </row>
    <row r="264" spans="1:5" x14ac:dyDescent="0.25">
      <c r="A264" t="s">
        <v>40</v>
      </c>
      <c r="B264" t="s">
        <v>63</v>
      </c>
      <c r="C264" t="s">
        <v>439</v>
      </c>
      <c r="D264" t="s">
        <v>492</v>
      </c>
      <c r="E264" t="s">
        <v>43</v>
      </c>
    </row>
    <row r="265" spans="1:5" x14ac:dyDescent="0.25">
      <c r="A265" t="s">
        <v>40</v>
      </c>
      <c r="B265" t="s">
        <v>63</v>
      </c>
      <c r="C265" t="s">
        <v>303</v>
      </c>
      <c r="D265" t="s">
        <v>493</v>
      </c>
      <c r="E265" t="s">
        <v>43</v>
      </c>
    </row>
    <row r="266" spans="1:5" x14ac:dyDescent="0.25">
      <c r="A266" t="s">
        <v>40</v>
      </c>
      <c r="B266" t="s">
        <v>63</v>
      </c>
      <c r="C266" t="s">
        <v>442</v>
      </c>
      <c r="D266" t="s">
        <v>494</v>
      </c>
      <c r="E266" t="s">
        <v>43</v>
      </c>
    </row>
    <row r="267" spans="1:5" x14ac:dyDescent="0.25">
      <c r="A267" t="s">
        <v>40</v>
      </c>
      <c r="B267" t="s">
        <v>63</v>
      </c>
      <c r="C267" t="s">
        <v>307</v>
      </c>
      <c r="D267" t="s">
        <v>495</v>
      </c>
      <c r="E267" t="s">
        <v>43</v>
      </c>
    </row>
    <row r="268" spans="1:5" x14ac:dyDescent="0.25">
      <c r="A268" t="s">
        <v>40</v>
      </c>
      <c r="B268" t="s">
        <v>63</v>
      </c>
      <c r="C268" t="s">
        <v>444</v>
      </c>
      <c r="D268" t="s">
        <v>496</v>
      </c>
      <c r="E268" t="s">
        <v>43</v>
      </c>
    </row>
    <row r="269" spans="1:5" x14ac:dyDescent="0.25">
      <c r="A269" t="s">
        <v>40</v>
      </c>
      <c r="B269" t="s">
        <v>63</v>
      </c>
      <c r="C269" t="s">
        <v>315</v>
      </c>
      <c r="D269" t="s">
        <v>497</v>
      </c>
      <c r="E269" t="s">
        <v>43</v>
      </c>
    </row>
    <row r="270" spans="1:5" x14ac:dyDescent="0.25">
      <c r="A270" t="s">
        <v>40</v>
      </c>
      <c r="B270" t="s">
        <v>63</v>
      </c>
      <c r="C270" t="s">
        <v>347</v>
      </c>
      <c r="D270" t="s">
        <v>498</v>
      </c>
      <c r="E270" t="s">
        <v>43</v>
      </c>
    </row>
    <row r="271" spans="1:5" x14ac:dyDescent="0.25">
      <c r="A271" t="s">
        <v>40</v>
      </c>
      <c r="B271" t="s">
        <v>63</v>
      </c>
      <c r="C271" t="s">
        <v>319</v>
      </c>
      <c r="D271" t="s">
        <v>499</v>
      </c>
      <c r="E271" t="s">
        <v>43</v>
      </c>
    </row>
    <row r="272" spans="1:5" x14ac:dyDescent="0.25">
      <c r="A272" t="s">
        <v>40</v>
      </c>
      <c r="B272" t="s">
        <v>63</v>
      </c>
      <c r="C272" t="s">
        <v>286</v>
      </c>
      <c r="D272" t="s">
        <v>500</v>
      </c>
      <c r="E272" t="s">
        <v>43</v>
      </c>
    </row>
    <row r="273" spans="1:5" x14ac:dyDescent="0.25">
      <c r="A273" t="s">
        <v>40</v>
      </c>
      <c r="B273" t="s">
        <v>63</v>
      </c>
      <c r="C273" t="s">
        <v>317</v>
      </c>
      <c r="D273" t="s">
        <v>501</v>
      </c>
      <c r="E273" t="s">
        <v>43</v>
      </c>
    </row>
    <row r="274" spans="1:5" x14ac:dyDescent="0.25">
      <c r="A274" t="s">
        <v>40</v>
      </c>
      <c r="B274" t="s">
        <v>63</v>
      </c>
      <c r="C274" t="s">
        <v>290</v>
      </c>
      <c r="D274" t="s">
        <v>502</v>
      </c>
      <c r="E274" t="s">
        <v>43</v>
      </c>
    </row>
    <row r="275" spans="1:5" x14ac:dyDescent="0.25">
      <c r="A275" t="s">
        <v>40</v>
      </c>
      <c r="B275" t="s">
        <v>63</v>
      </c>
      <c r="C275" t="s">
        <v>405</v>
      </c>
      <c r="D275" t="s">
        <v>503</v>
      </c>
      <c r="E275" t="s">
        <v>43</v>
      </c>
    </row>
    <row r="276" spans="1:5" x14ac:dyDescent="0.25">
      <c r="A276" t="s">
        <v>40</v>
      </c>
      <c r="B276" t="s">
        <v>63</v>
      </c>
      <c r="C276" t="s">
        <v>294</v>
      </c>
      <c r="D276" t="s">
        <v>504</v>
      </c>
      <c r="E276" t="s">
        <v>43</v>
      </c>
    </row>
    <row r="277" spans="1:5" x14ac:dyDescent="0.25">
      <c r="A277" t="s">
        <v>40</v>
      </c>
      <c r="B277" t="s">
        <v>63</v>
      </c>
      <c r="C277" t="s">
        <v>409</v>
      </c>
      <c r="D277" t="s">
        <v>505</v>
      </c>
      <c r="E277" t="s">
        <v>43</v>
      </c>
    </row>
    <row r="278" spans="1:5" x14ac:dyDescent="0.25">
      <c r="A278" t="s">
        <v>40</v>
      </c>
      <c r="B278" t="s">
        <v>63</v>
      </c>
      <c r="C278" t="s">
        <v>297</v>
      </c>
      <c r="D278" t="s">
        <v>506</v>
      </c>
      <c r="E278" t="s">
        <v>43</v>
      </c>
    </row>
    <row r="279" spans="1:5" x14ac:dyDescent="0.25">
      <c r="A279" t="s">
        <v>40</v>
      </c>
      <c r="B279" t="s">
        <v>63</v>
      </c>
      <c r="C279" t="s">
        <v>413</v>
      </c>
      <c r="D279" t="s">
        <v>507</v>
      </c>
      <c r="E279" t="s">
        <v>43</v>
      </c>
    </row>
    <row r="280" spans="1:5" x14ac:dyDescent="0.25">
      <c r="A280" t="s">
        <v>40</v>
      </c>
      <c r="B280" t="s">
        <v>63</v>
      </c>
      <c r="C280" t="s">
        <v>301</v>
      </c>
      <c r="D280" t="s">
        <v>508</v>
      </c>
      <c r="E280" t="s">
        <v>43</v>
      </c>
    </row>
    <row r="281" spans="1:5" x14ac:dyDescent="0.25">
      <c r="A281" t="s">
        <v>40</v>
      </c>
      <c r="B281" t="s">
        <v>63</v>
      </c>
      <c r="C281" t="s">
        <v>48</v>
      </c>
      <c r="D281" t="s">
        <v>509</v>
      </c>
      <c r="E281" t="s">
        <v>43</v>
      </c>
    </row>
    <row r="282" spans="1:5" x14ac:dyDescent="0.25">
      <c r="A282" t="s">
        <v>40</v>
      </c>
      <c r="B282" t="s">
        <v>63</v>
      </c>
      <c r="C282" t="s">
        <v>305</v>
      </c>
      <c r="D282" t="s">
        <v>510</v>
      </c>
      <c r="E282" t="s">
        <v>43</v>
      </c>
    </row>
    <row r="283" spans="1:5" x14ac:dyDescent="0.25">
      <c r="A283" t="s">
        <v>40</v>
      </c>
      <c r="B283" t="s">
        <v>63</v>
      </c>
      <c r="C283" t="s">
        <v>184</v>
      </c>
      <c r="D283" t="s">
        <v>511</v>
      </c>
      <c r="E283" t="s">
        <v>43</v>
      </c>
    </row>
    <row r="284" spans="1:5" x14ac:dyDescent="0.25">
      <c r="A284" t="s">
        <v>40</v>
      </c>
      <c r="B284" t="s">
        <v>63</v>
      </c>
      <c r="C284" t="s">
        <v>309</v>
      </c>
      <c r="D284" t="s">
        <v>512</v>
      </c>
      <c r="E284" t="s">
        <v>43</v>
      </c>
    </row>
    <row r="285" spans="1:5" x14ac:dyDescent="0.25">
      <c r="A285" t="s">
        <v>40</v>
      </c>
      <c r="B285" t="s">
        <v>63</v>
      </c>
      <c r="C285" t="s">
        <v>310</v>
      </c>
      <c r="D285" t="s">
        <v>513</v>
      </c>
      <c r="E285" t="s">
        <v>43</v>
      </c>
    </row>
    <row r="286" spans="1:5" x14ac:dyDescent="0.25">
      <c r="A286" t="s">
        <v>64</v>
      </c>
      <c r="B286" t="s">
        <v>65</v>
      </c>
      <c r="C286" t="s">
        <v>324</v>
      </c>
      <c r="D286" t="s">
        <v>514</v>
      </c>
      <c r="E286" t="s">
        <v>73</v>
      </c>
    </row>
    <row r="287" spans="1:5" x14ac:dyDescent="0.25">
      <c r="A287" t="s">
        <v>64</v>
      </c>
      <c r="B287" t="s">
        <v>65</v>
      </c>
      <c r="C287" t="s">
        <v>386</v>
      </c>
      <c r="D287" t="s">
        <v>515</v>
      </c>
      <c r="E287" t="s">
        <v>73</v>
      </c>
    </row>
    <row r="288" spans="1:5" x14ac:dyDescent="0.25">
      <c r="A288" t="s">
        <v>64</v>
      </c>
      <c r="B288" t="s">
        <v>65</v>
      </c>
      <c r="C288" t="s">
        <v>328</v>
      </c>
      <c r="D288" t="s">
        <v>516</v>
      </c>
      <c r="E288" t="s">
        <v>73</v>
      </c>
    </row>
    <row r="289" spans="1:5" x14ac:dyDescent="0.25">
      <c r="A289" t="s">
        <v>64</v>
      </c>
      <c r="B289" t="s">
        <v>65</v>
      </c>
      <c r="C289" t="s">
        <v>303</v>
      </c>
      <c r="D289" t="s">
        <v>517</v>
      </c>
      <c r="E289" t="s">
        <v>73</v>
      </c>
    </row>
    <row r="290" spans="1:5" x14ac:dyDescent="0.25">
      <c r="A290" t="s">
        <v>64</v>
      </c>
      <c r="B290" t="s">
        <v>65</v>
      </c>
      <c r="C290" t="s">
        <v>332</v>
      </c>
      <c r="D290" t="s">
        <v>518</v>
      </c>
      <c r="E290" t="s">
        <v>73</v>
      </c>
    </row>
    <row r="291" spans="1:5" x14ac:dyDescent="0.25">
      <c r="A291" t="s">
        <v>64</v>
      </c>
      <c r="B291" t="s">
        <v>65</v>
      </c>
      <c r="C291" t="s">
        <v>307</v>
      </c>
      <c r="D291" t="s">
        <v>519</v>
      </c>
      <c r="E291" t="s">
        <v>73</v>
      </c>
    </row>
    <row r="292" spans="1:5" x14ac:dyDescent="0.25">
      <c r="A292" t="s">
        <v>64</v>
      </c>
      <c r="B292" t="s">
        <v>65</v>
      </c>
      <c r="C292" t="s">
        <v>335</v>
      </c>
      <c r="D292" t="s">
        <v>520</v>
      </c>
      <c r="E292" t="s">
        <v>73</v>
      </c>
    </row>
    <row r="293" spans="1:5" x14ac:dyDescent="0.25">
      <c r="A293" t="s">
        <v>64</v>
      </c>
      <c r="B293" t="s">
        <v>65</v>
      </c>
      <c r="C293" t="s">
        <v>315</v>
      </c>
      <c r="D293" t="s">
        <v>521</v>
      </c>
      <c r="E293" t="s">
        <v>73</v>
      </c>
    </row>
    <row r="294" spans="1:5" x14ac:dyDescent="0.25">
      <c r="A294" t="s">
        <v>64</v>
      </c>
      <c r="B294" t="s">
        <v>65</v>
      </c>
      <c r="C294" t="s">
        <v>339</v>
      </c>
      <c r="D294" t="s">
        <v>522</v>
      </c>
      <c r="E294" t="s">
        <v>73</v>
      </c>
    </row>
    <row r="295" spans="1:5" x14ac:dyDescent="0.25">
      <c r="A295" t="s">
        <v>64</v>
      </c>
      <c r="B295" t="s">
        <v>65</v>
      </c>
      <c r="C295" t="s">
        <v>319</v>
      </c>
      <c r="D295" t="s">
        <v>523</v>
      </c>
      <c r="E295" t="s">
        <v>73</v>
      </c>
    </row>
    <row r="296" spans="1:5" x14ac:dyDescent="0.25">
      <c r="A296" t="s">
        <v>64</v>
      </c>
      <c r="B296" t="s">
        <v>65</v>
      </c>
      <c r="C296" t="s">
        <v>343</v>
      </c>
      <c r="D296" t="s">
        <v>524</v>
      </c>
      <c r="E296" t="s">
        <v>73</v>
      </c>
    </row>
    <row r="297" spans="1:5" x14ac:dyDescent="0.25">
      <c r="A297" t="s">
        <v>64</v>
      </c>
      <c r="B297" t="s">
        <v>65</v>
      </c>
      <c r="C297" t="s">
        <v>317</v>
      </c>
      <c r="D297" t="s">
        <v>525</v>
      </c>
      <c r="E297" t="s">
        <v>73</v>
      </c>
    </row>
    <row r="298" spans="1:5" x14ac:dyDescent="0.25">
      <c r="A298" t="s">
        <v>64</v>
      </c>
      <c r="B298" t="s">
        <v>65</v>
      </c>
      <c r="C298" t="s">
        <v>439</v>
      </c>
      <c r="D298" t="s">
        <v>526</v>
      </c>
      <c r="E298" t="s">
        <v>73</v>
      </c>
    </row>
    <row r="299" spans="1:5" x14ac:dyDescent="0.25">
      <c r="A299" t="s">
        <v>64</v>
      </c>
      <c r="B299" t="s">
        <v>65</v>
      </c>
      <c r="C299" t="s">
        <v>405</v>
      </c>
      <c r="D299" t="s">
        <v>527</v>
      </c>
      <c r="E299" t="s">
        <v>73</v>
      </c>
    </row>
    <row r="300" spans="1:5" x14ac:dyDescent="0.25">
      <c r="A300" t="s">
        <v>64</v>
      </c>
      <c r="B300" t="s">
        <v>65</v>
      </c>
      <c r="C300" t="s">
        <v>442</v>
      </c>
      <c r="D300" t="s">
        <v>528</v>
      </c>
      <c r="E300" t="s">
        <v>73</v>
      </c>
    </row>
    <row r="301" spans="1:5" x14ac:dyDescent="0.25">
      <c r="A301" t="s">
        <v>64</v>
      </c>
      <c r="B301" t="s">
        <v>65</v>
      </c>
      <c r="C301" t="s">
        <v>409</v>
      </c>
      <c r="D301" t="s">
        <v>529</v>
      </c>
      <c r="E301" t="s">
        <v>73</v>
      </c>
    </row>
    <row r="302" spans="1:5" x14ac:dyDescent="0.25">
      <c r="A302" t="s">
        <v>64</v>
      </c>
      <c r="B302" t="s">
        <v>65</v>
      </c>
      <c r="C302" t="s">
        <v>444</v>
      </c>
      <c r="D302" t="s">
        <v>530</v>
      </c>
      <c r="E302" t="s">
        <v>73</v>
      </c>
    </row>
    <row r="303" spans="1:5" x14ac:dyDescent="0.25">
      <c r="A303" t="s">
        <v>64</v>
      </c>
      <c r="B303" t="s">
        <v>65</v>
      </c>
      <c r="C303" t="s">
        <v>413</v>
      </c>
      <c r="D303" t="s">
        <v>531</v>
      </c>
      <c r="E303" t="s">
        <v>73</v>
      </c>
    </row>
    <row r="304" spans="1:5" x14ac:dyDescent="0.25">
      <c r="A304" t="s">
        <v>64</v>
      </c>
      <c r="B304" t="s">
        <v>65</v>
      </c>
      <c r="C304" t="s">
        <v>347</v>
      </c>
      <c r="D304" t="s">
        <v>532</v>
      </c>
      <c r="E304" t="s">
        <v>73</v>
      </c>
    </row>
    <row r="305" spans="1:5" x14ac:dyDescent="0.25">
      <c r="A305" t="s">
        <v>64</v>
      </c>
      <c r="B305" t="s">
        <v>65</v>
      </c>
      <c r="C305" t="s">
        <v>48</v>
      </c>
      <c r="D305" t="s">
        <v>533</v>
      </c>
      <c r="E305" t="s">
        <v>73</v>
      </c>
    </row>
    <row r="306" spans="1:5" x14ac:dyDescent="0.25">
      <c r="A306" t="s">
        <v>64</v>
      </c>
      <c r="B306" t="s">
        <v>65</v>
      </c>
      <c r="C306" t="s">
        <v>286</v>
      </c>
      <c r="D306" t="s">
        <v>534</v>
      </c>
      <c r="E306" t="s">
        <v>73</v>
      </c>
    </row>
    <row r="307" spans="1:5" x14ac:dyDescent="0.25">
      <c r="A307" t="s">
        <v>64</v>
      </c>
      <c r="B307" t="s">
        <v>65</v>
      </c>
      <c r="C307" t="s">
        <v>420</v>
      </c>
      <c r="D307" t="s">
        <v>535</v>
      </c>
      <c r="E307" t="s">
        <v>73</v>
      </c>
    </row>
    <row r="308" spans="1:5" x14ac:dyDescent="0.25">
      <c r="A308" t="s">
        <v>64</v>
      </c>
      <c r="B308" t="s">
        <v>65</v>
      </c>
      <c r="C308" t="s">
        <v>290</v>
      </c>
      <c r="D308" t="s">
        <v>536</v>
      </c>
      <c r="E308" t="s">
        <v>73</v>
      </c>
    </row>
    <row r="309" spans="1:5" x14ac:dyDescent="0.25">
      <c r="A309" t="s">
        <v>64</v>
      </c>
      <c r="B309" t="s">
        <v>65</v>
      </c>
      <c r="C309" t="s">
        <v>424</v>
      </c>
      <c r="D309" t="s">
        <v>537</v>
      </c>
      <c r="E309" t="s">
        <v>73</v>
      </c>
    </row>
    <row r="310" spans="1:5" x14ac:dyDescent="0.25">
      <c r="A310" t="s">
        <v>64</v>
      </c>
      <c r="B310" t="s">
        <v>65</v>
      </c>
      <c r="C310" t="s">
        <v>294</v>
      </c>
      <c r="D310" t="s">
        <v>538</v>
      </c>
      <c r="E310" t="s">
        <v>73</v>
      </c>
    </row>
    <row r="311" spans="1:5" x14ac:dyDescent="0.25">
      <c r="A311" t="s">
        <v>64</v>
      </c>
      <c r="B311" t="s">
        <v>65</v>
      </c>
      <c r="C311" t="s">
        <v>51</v>
      </c>
      <c r="D311" t="s">
        <v>539</v>
      </c>
      <c r="E311" t="s">
        <v>73</v>
      </c>
    </row>
    <row r="312" spans="1:5" x14ac:dyDescent="0.25">
      <c r="A312" t="s">
        <v>64</v>
      </c>
      <c r="B312" t="s">
        <v>65</v>
      </c>
      <c r="C312" t="s">
        <v>297</v>
      </c>
      <c r="D312" t="s">
        <v>540</v>
      </c>
      <c r="E312" t="s">
        <v>73</v>
      </c>
    </row>
    <row r="313" spans="1:5" x14ac:dyDescent="0.25">
      <c r="A313" t="s">
        <v>64</v>
      </c>
      <c r="B313" t="s">
        <v>65</v>
      </c>
      <c r="C313" t="s">
        <v>322</v>
      </c>
      <c r="D313" t="s">
        <v>541</v>
      </c>
      <c r="E313" t="s">
        <v>73</v>
      </c>
    </row>
    <row r="314" spans="1:5" x14ac:dyDescent="0.25">
      <c r="A314" t="s">
        <v>64</v>
      </c>
      <c r="B314" t="s">
        <v>65</v>
      </c>
      <c r="C314" t="s">
        <v>301</v>
      </c>
      <c r="D314" t="s">
        <v>542</v>
      </c>
      <c r="E314" t="s">
        <v>73</v>
      </c>
    </row>
    <row r="315" spans="1:5" x14ac:dyDescent="0.25">
      <c r="A315" t="s">
        <v>64</v>
      </c>
      <c r="B315" t="s">
        <v>65</v>
      </c>
      <c r="C315" t="s">
        <v>326</v>
      </c>
      <c r="D315" t="s">
        <v>543</v>
      </c>
      <c r="E315" t="s">
        <v>73</v>
      </c>
    </row>
    <row r="316" spans="1:5" x14ac:dyDescent="0.25">
      <c r="A316" t="s">
        <v>64</v>
      </c>
      <c r="B316" t="s">
        <v>65</v>
      </c>
      <c r="C316" t="s">
        <v>305</v>
      </c>
      <c r="D316" t="s">
        <v>544</v>
      </c>
      <c r="E316" t="s">
        <v>73</v>
      </c>
    </row>
    <row r="317" spans="1:5" x14ac:dyDescent="0.25">
      <c r="A317" t="s">
        <v>64</v>
      </c>
      <c r="B317" t="s">
        <v>65</v>
      </c>
      <c r="C317" t="s">
        <v>330</v>
      </c>
      <c r="D317" t="s">
        <v>545</v>
      </c>
      <c r="E317" t="s">
        <v>73</v>
      </c>
    </row>
    <row r="318" spans="1:5" x14ac:dyDescent="0.25">
      <c r="A318" t="s">
        <v>64</v>
      </c>
      <c r="B318" t="s">
        <v>65</v>
      </c>
      <c r="C318" t="s">
        <v>309</v>
      </c>
      <c r="D318" t="s">
        <v>546</v>
      </c>
      <c r="E318" t="s">
        <v>73</v>
      </c>
    </row>
    <row r="319" spans="1:5" x14ac:dyDescent="0.25">
      <c r="A319" t="s">
        <v>64</v>
      </c>
      <c r="B319" t="s">
        <v>65</v>
      </c>
      <c r="C319" t="s">
        <v>53</v>
      </c>
      <c r="D319" t="s">
        <v>547</v>
      </c>
      <c r="E319" t="s">
        <v>73</v>
      </c>
    </row>
    <row r="320" spans="1:5" x14ac:dyDescent="0.25">
      <c r="A320" t="s">
        <v>64</v>
      </c>
      <c r="B320" t="s">
        <v>65</v>
      </c>
      <c r="C320" t="s">
        <v>312</v>
      </c>
      <c r="D320" t="s">
        <v>548</v>
      </c>
      <c r="E320" t="s">
        <v>73</v>
      </c>
    </row>
    <row r="321" spans="1:5" x14ac:dyDescent="0.25">
      <c r="A321" t="s">
        <v>64</v>
      </c>
      <c r="B321" t="s">
        <v>65</v>
      </c>
      <c r="C321" t="s">
        <v>337</v>
      </c>
      <c r="D321" t="s">
        <v>549</v>
      </c>
      <c r="E321" t="s">
        <v>73</v>
      </c>
    </row>
    <row r="322" spans="1:5" x14ac:dyDescent="0.25">
      <c r="A322" t="s">
        <v>64</v>
      </c>
      <c r="B322" t="s">
        <v>65</v>
      </c>
      <c r="C322" t="s">
        <v>288</v>
      </c>
      <c r="D322" t="s">
        <v>550</v>
      </c>
      <c r="E322" t="s">
        <v>73</v>
      </c>
    </row>
    <row r="323" spans="1:5" x14ac:dyDescent="0.25">
      <c r="A323" t="s">
        <v>64</v>
      </c>
      <c r="B323" t="s">
        <v>65</v>
      </c>
      <c r="C323" t="s">
        <v>341</v>
      </c>
      <c r="D323" t="s">
        <v>551</v>
      </c>
      <c r="E323" t="s">
        <v>73</v>
      </c>
    </row>
    <row r="324" spans="1:5" x14ac:dyDescent="0.25">
      <c r="A324" t="s">
        <v>64</v>
      </c>
      <c r="B324" t="s">
        <v>65</v>
      </c>
      <c r="C324" t="s">
        <v>292</v>
      </c>
      <c r="D324" t="s">
        <v>552</v>
      </c>
      <c r="E324" t="s">
        <v>73</v>
      </c>
    </row>
    <row r="325" spans="1:5" x14ac:dyDescent="0.25">
      <c r="A325" t="s">
        <v>64</v>
      </c>
      <c r="B325" t="s">
        <v>65</v>
      </c>
      <c r="C325" t="s">
        <v>345</v>
      </c>
      <c r="D325" t="s">
        <v>197</v>
      </c>
      <c r="E325" t="s">
        <v>73</v>
      </c>
    </row>
    <row r="326" spans="1:5" x14ac:dyDescent="0.25">
      <c r="A326" t="s">
        <v>64</v>
      </c>
      <c r="B326" t="s">
        <v>65</v>
      </c>
      <c r="C326" t="s">
        <v>295</v>
      </c>
      <c r="D326" t="s">
        <v>553</v>
      </c>
      <c r="E326" t="s">
        <v>73</v>
      </c>
    </row>
    <row r="327" spans="1:5" x14ac:dyDescent="0.25">
      <c r="A327" t="s">
        <v>64</v>
      </c>
      <c r="B327" t="s">
        <v>65</v>
      </c>
      <c r="C327" t="s">
        <v>56</v>
      </c>
      <c r="D327" t="s">
        <v>554</v>
      </c>
      <c r="E327" t="s">
        <v>73</v>
      </c>
    </row>
    <row r="328" spans="1:5" x14ac:dyDescent="0.25">
      <c r="A328" t="s">
        <v>64</v>
      </c>
      <c r="B328" t="s">
        <v>65</v>
      </c>
      <c r="C328" t="s">
        <v>299</v>
      </c>
      <c r="D328" t="s">
        <v>555</v>
      </c>
      <c r="E328" t="s">
        <v>73</v>
      </c>
    </row>
    <row r="329" spans="1:5" x14ac:dyDescent="0.25">
      <c r="A329" t="s">
        <v>64</v>
      </c>
      <c r="B329" t="s">
        <v>65</v>
      </c>
      <c r="C329" t="s">
        <v>184</v>
      </c>
      <c r="D329" t="s">
        <v>556</v>
      </c>
      <c r="E329" t="s">
        <v>73</v>
      </c>
    </row>
    <row r="330" spans="1:5" x14ac:dyDescent="0.25">
      <c r="A330" t="s">
        <v>66</v>
      </c>
      <c r="B330" t="s">
        <v>67</v>
      </c>
      <c r="C330" t="s">
        <v>324</v>
      </c>
      <c r="D330" t="s">
        <v>557</v>
      </c>
      <c r="E330" t="s">
        <v>43</v>
      </c>
    </row>
    <row r="331" spans="1:5" x14ac:dyDescent="0.25">
      <c r="A331" t="s">
        <v>66</v>
      </c>
      <c r="B331" t="s">
        <v>67</v>
      </c>
      <c r="C331" t="s">
        <v>386</v>
      </c>
      <c r="D331" t="s">
        <v>558</v>
      </c>
      <c r="E331" t="s">
        <v>43</v>
      </c>
    </row>
    <row r="332" spans="1:5" x14ac:dyDescent="0.25">
      <c r="A332" t="s">
        <v>66</v>
      </c>
      <c r="B332" t="s">
        <v>67</v>
      </c>
      <c r="C332" t="s">
        <v>355</v>
      </c>
      <c r="D332" t="s">
        <v>559</v>
      </c>
      <c r="E332" t="s">
        <v>43</v>
      </c>
    </row>
    <row r="333" spans="1:5" x14ac:dyDescent="0.25">
      <c r="A333" t="s">
        <v>66</v>
      </c>
      <c r="B333" t="s">
        <v>67</v>
      </c>
      <c r="C333" t="s">
        <v>328</v>
      </c>
      <c r="D333" t="s">
        <v>557</v>
      </c>
      <c r="E333" t="s">
        <v>43</v>
      </c>
    </row>
    <row r="334" spans="1:5" x14ac:dyDescent="0.25">
      <c r="A334" t="s">
        <v>66</v>
      </c>
      <c r="B334" t="s">
        <v>67</v>
      </c>
      <c r="C334" t="s">
        <v>303</v>
      </c>
      <c r="D334" t="s">
        <v>224</v>
      </c>
      <c r="E334" t="s">
        <v>43</v>
      </c>
    </row>
    <row r="335" spans="1:5" x14ac:dyDescent="0.25">
      <c r="A335" t="s">
        <v>66</v>
      </c>
      <c r="B335" t="s">
        <v>67</v>
      </c>
      <c r="C335" t="s">
        <v>358</v>
      </c>
      <c r="D335" t="s">
        <v>560</v>
      </c>
      <c r="E335" t="s">
        <v>43</v>
      </c>
    </row>
    <row r="336" spans="1:5" x14ac:dyDescent="0.25">
      <c r="A336" t="s">
        <v>66</v>
      </c>
      <c r="B336" t="s">
        <v>67</v>
      </c>
      <c r="C336" t="s">
        <v>332</v>
      </c>
      <c r="D336" t="s">
        <v>561</v>
      </c>
      <c r="E336" t="s">
        <v>43</v>
      </c>
    </row>
    <row r="337" spans="1:5" x14ac:dyDescent="0.25">
      <c r="A337" t="s">
        <v>66</v>
      </c>
      <c r="B337" t="s">
        <v>67</v>
      </c>
      <c r="C337" t="s">
        <v>307</v>
      </c>
      <c r="D337" t="s">
        <v>562</v>
      </c>
      <c r="E337" t="s">
        <v>43</v>
      </c>
    </row>
    <row r="338" spans="1:5" x14ac:dyDescent="0.25">
      <c r="A338" t="s">
        <v>66</v>
      </c>
      <c r="B338" t="s">
        <v>67</v>
      </c>
      <c r="C338" t="s">
        <v>361</v>
      </c>
      <c r="D338" t="s">
        <v>563</v>
      </c>
      <c r="E338" t="s">
        <v>43</v>
      </c>
    </row>
    <row r="339" spans="1:5" x14ac:dyDescent="0.25">
      <c r="A339" t="s">
        <v>66</v>
      </c>
      <c r="B339" t="s">
        <v>67</v>
      </c>
      <c r="C339" t="s">
        <v>335</v>
      </c>
      <c r="D339" t="s">
        <v>564</v>
      </c>
      <c r="E339" t="s">
        <v>43</v>
      </c>
    </row>
    <row r="340" spans="1:5" x14ac:dyDescent="0.25">
      <c r="A340" t="s">
        <v>66</v>
      </c>
      <c r="B340" t="s">
        <v>67</v>
      </c>
      <c r="C340" t="s">
        <v>315</v>
      </c>
      <c r="D340" t="s">
        <v>565</v>
      </c>
      <c r="E340" t="s">
        <v>43</v>
      </c>
    </row>
    <row r="341" spans="1:5" x14ac:dyDescent="0.25">
      <c r="A341" t="s">
        <v>66</v>
      </c>
      <c r="B341" t="s">
        <v>67</v>
      </c>
      <c r="C341" t="s">
        <v>364</v>
      </c>
      <c r="D341" t="s">
        <v>566</v>
      </c>
      <c r="E341" t="s">
        <v>43</v>
      </c>
    </row>
    <row r="342" spans="1:5" x14ac:dyDescent="0.25">
      <c r="A342" t="s">
        <v>66</v>
      </c>
      <c r="B342" t="s">
        <v>67</v>
      </c>
      <c r="C342" t="s">
        <v>339</v>
      </c>
      <c r="D342" t="s">
        <v>557</v>
      </c>
      <c r="E342" t="s">
        <v>43</v>
      </c>
    </row>
    <row r="343" spans="1:5" x14ac:dyDescent="0.25">
      <c r="A343" t="s">
        <v>66</v>
      </c>
      <c r="B343" t="s">
        <v>67</v>
      </c>
      <c r="C343" t="s">
        <v>319</v>
      </c>
      <c r="D343" t="s">
        <v>567</v>
      </c>
      <c r="E343" t="s">
        <v>43</v>
      </c>
    </row>
    <row r="344" spans="1:5" x14ac:dyDescent="0.25">
      <c r="A344" t="s">
        <v>66</v>
      </c>
      <c r="B344" t="s">
        <v>67</v>
      </c>
      <c r="C344" t="s">
        <v>367</v>
      </c>
      <c r="D344" t="s">
        <v>568</v>
      </c>
      <c r="E344" t="s">
        <v>43</v>
      </c>
    </row>
    <row r="345" spans="1:5" x14ac:dyDescent="0.25">
      <c r="A345" t="s">
        <v>66</v>
      </c>
      <c r="B345" t="s">
        <v>67</v>
      </c>
      <c r="C345" t="s">
        <v>343</v>
      </c>
      <c r="D345" t="s">
        <v>557</v>
      </c>
      <c r="E345" t="s">
        <v>43</v>
      </c>
    </row>
    <row r="346" spans="1:5" x14ac:dyDescent="0.25">
      <c r="A346" t="s">
        <v>66</v>
      </c>
      <c r="B346" t="s">
        <v>67</v>
      </c>
      <c r="C346" t="s">
        <v>317</v>
      </c>
      <c r="D346" t="s">
        <v>569</v>
      </c>
      <c r="E346" t="s">
        <v>43</v>
      </c>
    </row>
    <row r="347" spans="1:5" x14ac:dyDescent="0.25">
      <c r="A347" t="s">
        <v>66</v>
      </c>
      <c r="B347" t="s">
        <v>67</v>
      </c>
      <c r="C347" t="s">
        <v>20</v>
      </c>
      <c r="D347" t="s">
        <v>570</v>
      </c>
      <c r="E347" t="s">
        <v>43</v>
      </c>
    </row>
    <row r="348" spans="1:5" x14ac:dyDescent="0.25">
      <c r="A348" t="s">
        <v>66</v>
      </c>
      <c r="B348" t="s">
        <v>67</v>
      </c>
      <c r="C348" t="s">
        <v>439</v>
      </c>
      <c r="D348" t="s">
        <v>557</v>
      </c>
      <c r="E348" t="s">
        <v>43</v>
      </c>
    </row>
    <row r="349" spans="1:5" x14ac:dyDescent="0.25">
      <c r="A349" t="s">
        <v>66</v>
      </c>
      <c r="B349" t="s">
        <v>67</v>
      </c>
      <c r="C349" t="s">
        <v>405</v>
      </c>
      <c r="D349" t="s">
        <v>571</v>
      </c>
      <c r="E349" t="s">
        <v>43</v>
      </c>
    </row>
    <row r="350" spans="1:5" x14ac:dyDescent="0.25">
      <c r="A350" t="s">
        <v>66</v>
      </c>
      <c r="B350" t="s">
        <v>67</v>
      </c>
      <c r="C350" t="s">
        <v>372</v>
      </c>
      <c r="D350" t="s">
        <v>572</v>
      </c>
      <c r="E350" t="s">
        <v>43</v>
      </c>
    </row>
    <row r="351" spans="1:5" x14ac:dyDescent="0.25">
      <c r="A351" t="s">
        <v>66</v>
      </c>
      <c r="B351" t="s">
        <v>67</v>
      </c>
      <c r="C351" t="s">
        <v>442</v>
      </c>
      <c r="D351" t="s">
        <v>557</v>
      </c>
      <c r="E351" t="s">
        <v>43</v>
      </c>
    </row>
    <row r="352" spans="1:5" x14ac:dyDescent="0.25">
      <c r="A352" t="s">
        <v>66</v>
      </c>
      <c r="B352" t="s">
        <v>67</v>
      </c>
      <c r="C352" t="s">
        <v>409</v>
      </c>
      <c r="D352" t="s">
        <v>573</v>
      </c>
      <c r="E352" t="s">
        <v>43</v>
      </c>
    </row>
    <row r="353" spans="1:5" x14ac:dyDescent="0.25">
      <c r="A353" t="s">
        <v>66</v>
      </c>
      <c r="B353" t="s">
        <v>67</v>
      </c>
      <c r="C353" t="s">
        <v>375</v>
      </c>
      <c r="D353" t="s">
        <v>574</v>
      </c>
      <c r="E353" t="s">
        <v>43</v>
      </c>
    </row>
    <row r="354" spans="1:5" x14ac:dyDescent="0.25">
      <c r="A354" t="s">
        <v>66</v>
      </c>
      <c r="B354" t="s">
        <v>67</v>
      </c>
      <c r="C354" t="s">
        <v>444</v>
      </c>
      <c r="D354" t="s">
        <v>557</v>
      </c>
      <c r="E354" t="s">
        <v>43</v>
      </c>
    </row>
    <row r="355" spans="1:5" x14ac:dyDescent="0.25">
      <c r="A355" t="s">
        <v>66</v>
      </c>
      <c r="B355" t="s">
        <v>67</v>
      </c>
      <c r="C355" t="s">
        <v>413</v>
      </c>
      <c r="D355" t="s">
        <v>575</v>
      </c>
      <c r="E355" t="s">
        <v>43</v>
      </c>
    </row>
    <row r="356" spans="1:5" x14ac:dyDescent="0.25">
      <c r="A356" t="s">
        <v>66</v>
      </c>
      <c r="B356" t="s">
        <v>67</v>
      </c>
      <c r="C356" t="s">
        <v>378</v>
      </c>
      <c r="D356" t="s">
        <v>576</v>
      </c>
      <c r="E356" t="s">
        <v>43</v>
      </c>
    </row>
    <row r="357" spans="1:5" x14ac:dyDescent="0.25">
      <c r="A357" t="s">
        <v>66</v>
      </c>
      <c r="B357" t="s">
        <v>67</v>
      </c>
      <c r="C357" t="s">
        <v>347</v>
      </c>
      <c r="D357" t="s">
        <v>557</v>
      </c>
      <c r="E357" t="s">
        <v>43</v>
      </c>
    </row>
    <row r="358" spans="1:5" x14ac:dyDescent="0.25">
      <c r="A358" t="s">
        <v>66</v>
      </c>
      <c r="B358" t="s">
        <v>67</v>
      </c>
      <c r="C358" t="s">
        <v>48</v>
      </c>
      <c r="D358" t="s">
        <v>577</v>
      </c>
      <c r="E358" t="s">
        <v>43</v>
      </c>
    </row>
    <row r="359" spans="1:5" x14ac:dyDescent="0.25">
      <c r="A359" t="s">
        <v>66</v>
      </c>
      <c r="B359" t="s">
        <v>67</v>
      </c>
      <c r="C359" t="s">
        <v>381</v>
      </c>
      <c r="D359" t="s">
        <v>578</v>
      </c>
      <c r="E359" t="s">
        <v>43</v>
      </c>
    </row>
    <row r="360" spans="1:5" x14ac:dyDescent="0.25">
      <c r="A360" t="s">
        <v>66</v>
      </c>
      <c r="B360" t="s">
        <v>67</v>
      </c>
      <c r="C360" t="s">
        <v>286</v>
      </c>
      <c r="D360" t="s">
        <v>557</v>
      </c>
      <c r="E360" t="s">
        <v>43</v>
      </c>
    </row>
    <row r="361" spans="1:5" x14ac:dyDescent="0.25">
      <c r="A361" t="s">
        <v>66</v>
      </c>
      <c r="B361" t="s">
        <v>67</v>
      </c>
      <c r="C361" t="s">
        <v>420</v>
      </c>
      <c r="D361" t="s">
        <v>579</v>
      </c>
      <c r="E361" t="s">
        <v>43</v>
      </c>
    </row>
    <row r="362" spans="1:5" x14ac:dyDescent="0.25">
      <c r="A362" t="s">
        <v>66</v>
      </c>
      <c r="B362" t="s">
        <v>67</v>
      </c>
      <c r="C362" t="s">
        <v>384</v>
      </c>
      <c r="D362" t="s">
        <v>580</v>
      </c>
      <c r="E362" t="s">
        <v>43</v>
      </c>
    </row>
    <row r="363" spans="1:5" x14ac:dyDescent="0.25">
      <c r="A363" t="s">
        <v>66</v>
      </c>
      <c r="B363" t="s">
        <v>67</v>
      </c>
      <c r="C363" t="s">
        <v>290</v>
      </c>
      <c r="D363" t="s">
        <v>557</v>
      </c>
      <c r="E363" t="s">
        <v>43</v>
      </c>
    </row>
    <row r="364" spans="1:5" x14ac:dyDescent="0.25">
      <c r="A364" t="s">
        <v>66</v>
      </c>
      <c r="B364" t="s">
        <v>67</v>
      </c>
      <c r="C364" t="s">
        <v>424</v>
      </c>
      <c r="D364" t="s">
        <v>581</v>
      </c>
      <c r="E364" t="s">
        <v>43</v>
      </c>
    </row>
    <row r="365" spans="1:5" x14ac:dyDescent="0.25">
      <c r="A365" t="s">
        <v>66</v>
      </c>
      <c r="B365" t="s">
        <v>67</v>
      </c>
      <c r="C365" t="s">
        <v>294</v>
      </c>
      <c r="D365" t="s">
        <v>582</v>
      </c>
      <c r="E365" t="s">
        <v>43</v>
      </c>
    </row>
    <row r="366" spans="1:5" x14ac:dyDescent="0.25">
      <c r="A366" t="s">
        <v>66</v>
      </c>
      <c r="B366" t="s">
        <v>67</v>
      </c>
      <c r="C366" t="s">
        <v>51</v>
      </c>
      <c r="D366" t="s">
        <v>583</v>
      </c>
      <c r="E366" t="s">
        <v>43</v>
      </c>
    </row>
    <row r="367" spans="1:5" x14ac:dyDescent="0.25">
      <c r="A367" t="s">
        <v>66</v>
      </c>
      <c r="B367" t="s">
        <v>67</v>
      </c>
      <c r="C367" t="s">
        <v>297</v>
      </c>
      <c r="D367" t="s">
        <v>584</v>
      </c>
      <c r="E367" t="s">
        <v>43</v>
      </c>
    </row>
    <row r="368" spans="1:5" x14ac:dyDescent="0.25">
      <c r="A368" t="s">
        <v>66</v>
      </c>
      <c r="B368" t="s">
        <v>67</v>
      </c>
      <c r="C368" t="s">
        <v>322</v>
      </c>
      <c r="D368" t="s">
        <v>585</v>
      </c>
      <c r="E368" t="s">
        <v>43</v>
      </c>
    </row>
    <row r="369" spans="1:5" x14ac:dyDescent="0.25">
      <c r="A369" t="s">
        <v>66</v>
      </c>
      <c r="B369" t="s">
        <v>67</v>
      </c>
      <c r="C369" t="s">
        <v>301</v>
      </c>
      <c r="D369" t="s">
        <v>586</v>
      </c>
      <c r="E369" t="s">
        <v>43</v>
      </c>
    </row>
    <row r="370" spans="1:5" x14ac:dyDescent="0.25">
      <c r="A370" t="s">
        <v>66</v>
      </c>
      <c r="B370" t="s">
        <v>67</v>
      </c>
      <c r="C370" t="s">
        <v>326</v>
      </c>
      <c r="D370" t="s">
        <v>587</v>
      </c>
      <c r="E370" t="s">
        <v>43</v>
      </c>
    </row>
    <row r="371" spans="1:5" x14ac:dyDescent="0.25">
      <c r="A371" t="s">
        <v>66</v>
      </c>
      <c r="B371" t="s">
        <v>67</v>
      </c>
      <c r="C371" t="s">
        <v>305</v>
      </c>
      <c r="D371" t="s">
        <v>588</v>
      </c>
      <c r="E371" t="s">
        <v>43</v>
      </c>
    </row>
    <row r="372" spans="1:5" x14ac:dyDescent="0.25">
      <c r="A372" t="s">
        <v>66</v>
      </c>
      <c r="B372" t="s">
        <v>67</v>
      </c>
      <c r="C372" t="s">
        <v>330</v>
      </c>
      <c r="D372" t="s">
        <v>589</v>
      </c>
      <c r="E372" t="s">
        <v>43</v>
      </c>
    </row>
    <row r="373" spans="1:5" x14ac:dyDescent="0.25">
      <c r="A373" t="s">
        <v>66</v>
      </c>
      <c r="B373" t="s">
        <v>67</v>
      </c>
      <c r="C373" t="s">
        <v>309</v>
      </c>
      <c r="D373" t="s">
        <v>590</v>
      </c>
      <c r="E373" t="s">
        <v>43</v>
      </c>
    </row>
    <row r="374" spans="1:5" x14ac:dyDescent="0.25">
      <c r="A374" t="s">
        <v>66</v>
      </c>
      <c r="B374" t="s">
        <v>67</v>
      </c>
      <c r="C374" t="s">
        <v>53</v>
      </c>
      <c r="D374" t="s">
        <v>591</v>
      </c>
      <c r="E374" t="s">
        <v>43</v>
      </c>
    </row>
    <row r="375" spans="1:5" x14ac:dyDescent="0.25">
      <c r="A375" t="s">
        <v>66</v>
      </c>
      <c r="B375" t="s">
        <v>67</v>
      </c>
      <c r="C375" t="s">
        <v>312</v>
      </c>
      <c r="D375" t="s">
        <v>592</v>
      </c>
      <c r="E375" t="s">
        <v>43</v>
      </c>
    </row>
    <row r="376" spans="1:5" x14ac:dyDescent="0.25">
      <c r="A376" t="s">
        <v>66</v>
      </c>
      <c r="B376" t="s">
        <v>67</v>
      </c>
      <c r="C376" t="s">
        <v>337</v>
      </c>
      <c r="D376" t="s">
        <v>593</v>
      </c>
      <c r="E376" t="s">
        <v>43</v>
      </c>
    </row>
    <row r="377" spans="1:5" x14ac:dyDescent="0.25">
      <c r="A377" t="s">
        <v>66</v>
      </c>
      <c r="B377" t="s">
        <v>67</v>
      </c>
      <c r="C377" t="s">
        <v>288</v>
      </c>
      <c r="D377" t="s">
        <v>594</v>
      </c>
      <c r="E377" t="s">
        <v>43</v>
      </c>
    </row>
    <row r="378" spans="1:5" x14ac:dyDescent="0.25">
      <c r="A378" t="s">
        <v>66</v>
      </c>
      <c r="B378" t="s">
        <v>67</v>
      </c>
      <c r="C378" t="s">
        <v>341</v>
      </c>
      <c r="D378" t="s">
        <v>595</v>
      </c>
      <c r="E378" t="s">
        <v>43</v>
      </c>
    </row>
    <row r="379" spans="1:5" x14ac:dyDescent="0.25">
      <c r="A379" t="s">
        <v>66</v>
      </c>
      <c r="B379" t="s">
        <v>67</v>
      </c>
      <c r="C379" t="s">
        <v>292</v>
      </c>
      <c r="D379" t="s">
        <v>596</v>
      </c>
      <c r="E379" t="s">
        <v>43</v>
      </c>
    </row>
    <row r="380" spans="1:5" x14ac:dyDescent="0.25">
      <c r="A380" t="s">
        <v>66</v>
      </c>
      <c r="B380" t="s">
        <v>67</v>
      </c>
      <c r="C380" t="s">
        <v>345</v>
      </c>
      <c r="D380" t="s">
        <v>597</v>
      </c>
      <c r="E380" t="s">
        <v>43</v>
      </c>
    </row>
    <row r="381" spans="1:5" x14ac:dyDescent="0.25">
      <c r="A381" t="s">
        <v>66</v>
      </c>
      <c r="B381" t="s">
        <v>67</v>
      </c>
      <c r="C381" t="s">
        <v>295</v>
      </c>
      <c r="D381" t="s">
        <v>598</v>
      </c>
      <c r="E381" t="s">
        <v>43</v>
      </c>
    </row>
    <row r="382" spans="1:5" x14ac:dyDescent="0.25">
      <c r="A382" t="s">
        <v>66</v>
      </c>
      <c r="B382" t="s">
        <v>67</v>
      </c>
      <c r="C382" t="s">
        <v>349</v>
      </c>
      <c r="D382" t="s">
        <v>599</v>
      </c>
      <c r="E382" t="s">
        <v>43</v>
      </c>
    </row>
    <row r="383" spans="1:5" x14ac:dyDescent="0.25">
      <c r="A383" t="s">
        <v>66</v>
      </c>
      <c r="B383" t="s">
        <v>67</v>
      </c>
      <c r="C383" t="s">
        <v>600</v>
      </c>
      <c r="D383" t="s">
        <v>197</v>
      </c>
      <c r="E383" t="s">
        <v>43</v>
      </c>
    </row>
    <row r="384" spans="1:5" x14ac:dyDescent="0.25">
      <c r="A384" t="s">
        <v>66</v>
      </c>
      <c r="B384" t="s">
        <v>67</v>
      </c>
      <c r="C384" t="s">
        <v>299</v>
      </c>
      <c r="D384" t="s">
        <v>601</v>
      </c>
      <c r="E384" t="s">
        <v>43</v>
      </c>
    </row>
    <row r="385" spans="1:5" x14ac:dyDescent="0.25">
      <c r="A385" t="s">
        <v>66</v>
      </c>
      <c r="B385" t="s">
        <v>67</v>
      </c>
      <c r="C385" t="s">
        <v>352</v>
      </c>
      <c r="D385" t="s">
        <v>602</v>
      </c>
      <c r="E385" t="s">
        <v>43</v>
      </c>
    </row>
    <row r="386" spans="1:5" x14ac:dyDescent="0.25">
      <c r="A386" t="s">
        <v>66</v>
      </c>
      <c r="B386" t="s">
        <v>67</v>
      </c>
      <c r="C386" t="s">
        <v>184</v>
      </c>
      <c r="D386" t="s">
        <v>603</v>
      </c>
      <c r="E386" t="s">
        <v>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2" customWidth="1"/>
    <col min="2" max="2" width="24" customWidth="1"/>
  </cols>
  <sheetData>
    <row r="1" ht="22" customHeight="1" spans="1:2" x14ac:dyDescent="0.25">
      <c r="A1" s="1" t="s">
        <v>604</v>
      </c>
      <c r="B1" s="1" t="s">
        <v>605</v>
      </c>
    </row>
    <row r="2" spans="1:2" x14ac:dyDescent="0.25">
      <c r="A2" t="s">
        <v>606</v>
      </c>
      <c r="B2" t="s">
        <v>27</v>
      </c>
    </row>
    <row r="3" spans="1:2" x14ac:dyDescent="0.25">
      <c r="A3" t="s">
        <v>607</v>
      </c>
      <c r="B3" t="s">
        <v>608</v>
      </c>
    </row>
    <row r="4" spans="1:2" x14ac:dyDescent="0.25">
      <c r="A4" t="s">
        <v>609</v>
      </c>
      <c r="B4" t="s">
        <v>610</v>
      </c>
    </row>
    <row r="5" spans="1:2" x14ac:dyDescent="0.25">
      <c r="A5" t="s">
        <v>611</v>
      </c>
      <c r="B5" t="s">
        <v>612</v>
      </c>
    </row>
    <row r="6" spans="1:2" x14ac:dyDescent="0.25">
      <c r="A6" t="s">
        <v>613</v>
      </c>
      <c r="B6" t="s">
        <v>38</v>
      </c>
    </row>
    <row r="7" spans="1:2" x14ac:dyDescent="0.25">
      <c r="A7" t="s">
        <v>614</v>
      </c>
      <c r="B7" t="s">
        <v>615</v>
      </c>
    </row>
    <row r="8" spans="1:2" x14ac:dyDescent="0.25">
      <c r="A8" t="s">
        <v>616</v>
      </c>
      <c r="B8" t="s">
        <v>617</v>
      </c>
    </row>
    <row r="9" spans="1:2" x14ac:dyDescent="0.25">
      <c r="A9" t="s">
        <v>618</v>
      </c>
      <c r="B9" t="s">
        <v>619</v>
      </c>
    </row>
    <row r="10" spans="1:2" x14ac:dyDescent="0.25">
      <c r="A10" t="s">
        <v>620</v>
      </c>
      <c r="B10" t="s">
        <v>621</v>
      </c>
    </row>
    <row r="11" spans="1:2" x14ac:dyDescent="0.25">
      <c r="A11" t="s">
        <v>622</v>
      </c>
      <c r="B11" t="s">
        <v>623</v>
      </c>
    </row>
    <row r="12" spans="1:2" x14ac:dyDescent="0.25">
      <c r="A12" t="s">
        <v>624</v>
      </c>
      <c r="B12" t="s">
        <v>625</v>
      </c>
    </row>
    <row r="13" spans="1:2" x14ac:dyDescent="0.25">
      <c r="A13" t="s">
        <v>626</v>
      </c>
      <c r="B13" t="s">
        <v>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0" customWidth="1"/>
    <col min="2" max="2" width="16" customWidth="1"/>
  </cols>
  <sheetData>
    <row r="1" ht="22" customHeight="1" spans="1:2" x14ac:dyDescent="0.25">
      <c r="A1" s="1" t="s">
        <v>628</v>
      </c>
      <c r="B1" s="1" t="s">
        <v>629</v>
      </c>
    </row>
    <row r="2" spans="1:2" x14ac:dyDescent="0.25">
      <c r="A2" t="s">
        <v>37</v>
      </c>
      <c r="B2" t="s">
        <v>630</v>
      </c>
    </row>
    <row r="3" spans="1:2" x14ac:dyDescent="0.25">
      <c r="A3" t="s">
        <v>26</v>
      </c>
      <c r="B3" t="s">
        <v>631</v>
      </c>
    </row>
    <row r="4" spans="1:2" x14ac:dyDescent="0.25">
      <c r="A4" t="s">
        <v>632</v>
      </c>
      <c r="B4" t="s">
        <v>633</v>
      </c>
    </row>
    <row r="5" spans="1:2" x14ac:dyDescent="0.25">
      <c r="A5" t="s">
        <v>170</v>
      </c>
      <c r="B5" t="s">
        <v>634</v>
      </c>
    </row>
    <row r="6" spans="1:2" x14ac:dyDescent="0.25">
      <c r="A6" t="s">
        <v>635</v>
      </c>
      <c r="B6" t="s">
        <v>636</v>
      </c>
    </row>
    <row r="7" spans="1:2" x14ac:dyDescent="0.25">
      <c r="A7" t="s">
        <v>637</v>
      </c>
      <c r="B7" t="s">
        <v>638</v>
      </c>
    </row>
    <row r="8" spans="1:2" x14ac:dyDescent="0.25">
      <c r="A8" t="s">
        <v>639</v>
      </c>
      <c r="B8" t="s">
        <v>640</v>
      </c>
    </row>
    <row r="9" spans="1:2" x14ac:dyDescent="0.25">
      <c r="A9" t="s">
        <v>641</v>
      </c>
      <c r="B9" t="s">
        <v>642</v>
      </c>
    </row>
    <row r="10" spans="1:2" x14ac:dyDescent="0.25">
      <c r="A10" t="s">
        <v>643</v>
      </c>
      <c r="B10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4" customWidth="1"/>
    <col min="2" max="2" width="90" customWidth="1"/>
  </cols>
  <sheetData>
    <row r="1" spans="1:2" x14ac:dyDescent="0.25">
      <c r="A1" t="s">
        <v>43</v>
      </c>
      <c r="B1" s="4" t="s">
        <v>645</v>
      </c>
    </row>
    <row r="2" spans="1:2" x14ac:dyDescent="0.25">
      <c r="A2" t="s">
        <v>43</v>
      </c>
      <c r="B2" s="5" t="s">
        <v>43</v>
      </c>
    </row>
    <row r="3" spans="1:2" x14ac:dyDescent="0.25">
      <c r="A3" t="s">
        <v>646</v>
      </c>
      <c r="B3" s="6" t="s">
        <v>647</v>
      </c>
    </row>
    <row r="4" spans="1:2" x14ac:dyDescent="0.25">
      <c r="A4" t="s">
        <v>43</v>
      </c>
      <c r="B4" s="5" t="s">
        <v>648</v>
      </c>
    </row>
    <row r="5" spans="1:2" x14ac:dyDescent="0.25">
      <c r="A5" t="s">
        <v>43</v>
      </c>
      <c r="B5" s="5" t="s">
        <v>43</v>
      </c>
    </row>
    <row r="6" spans="1:2" x14ac:dyDescent="0.25">
      <c r="A6" t="s">
        <v>649</v>
      </c>
      <c r="B6" s="6" t="s">
        <v>650</v>
      </c>
    </row>
    <row r="7" spans="1:2" x14ac:dyDescent="0.25">
      <c r="A7" t="s">
        <v>43</v>
      </c>
      <c r="B7" s="5" t="s">
        <v>43</v>
      </c>
    </row>
    <row r="8" spans="1:2" x14ac:dyDescent="0.25">
      <c r="A8" t="s">
        <v>651</v>
      </c>
      <c r="B8" s="6" t="s">
        <v>652</v>
      </c>
    </row>
    <row r="9" spans="1:2" x14ac:dyDescent="0.25">
      <c r="A9" t="s">
        <v>43</v>
      </c>
      <c r="B9" s="5" t="s">
        <v>653</v>
      </c>
    </row>
    <row r="10" spans="1:2" x14ac:dyDescent="0.25">
      <c r="A10" t="s">
        <v>43</v>
      </c>
      <c r="B10" s="5" t="s">
        <v>654</v>
      </c>
    </row>
    <row r="11" spans="1:2" x14ac:dyDescent="0.25">
      <c r="A11" t="s">
        <v>43</v>
      </c>
      <c r="B11" s="5" t="s">
        <v>655</v>
      </c>
    </row>
    <row r="12" spans="1:2" x14ac:dyDescent="0.25">
      <c r="A12" t="s">
        <v>43</v>
      </c>
      <c r="B12" s="5" t="s">
        <v>656</v>
      </c>
    </row>
    <row r="13" spans="1:2" x14ac:dyDescent="0.25">
      <c r="A13" t="s">
        <v>43</v>
      </c>
      <c r="B13" s="5" t="s">
        <v>657</v>
      </c>
    </row>
    <row r="14" spans="1:2" x14ac:dyDescent="0.25">
      <c r="A14" t="s">
        <v>43</v>
      </c>
      <c r="B14" s="5" t="s">
        <v>658</v>
      </c>
    </row>
    <row r="15" spans="1:2" x14ac:dyDescent="0.25">
      <c r="A15" t="s">
        <v>43</v>
      </c>
      <c r="B15" s="5" t="s">
        <v>43</v>
      </c>
    </row>
    <row r="16" spans="1:2" x14ac:dyDescent="0.25">
      <c r="A16" t="s">
        <v>659</v>
      </c>
      <c r="B16" s="6" t="s">
        <v>660</v>
      </c>
    </row>
    <row r="17" spans="1:2" x14ac:dyDescent="0.25">
      <c r="A17" t="s">
        <v>43</v>
      </c>
      <c r="B17" s="5" t="s">
        <v>661</v>
      </c>
    </row>
    <row r="18" spans="1:2" x14ac:dyDescent="0.25">
      <c r="A18" t="s">
        <v>43</v>
      </c>
      <c r="B18" s="5" t="s">
        <v>43</v>
      </c>
    </row>
    <row r="19" spans="1:2" x14ac:dyDescent="0.25">
      <c r="A19" t="s">
        <v>662</v>
      </c>
      <c r="B19" s="6" t="s">
        <v>663</v>
      </c>
    </row>
    <row r="20" spans="1:2" x14ac:dyDescent="0.25">
      <c r="A20" t="s">
        <v>43</v>
      </c>
      <c r="B20" s="5" t="s">
        <v>664</v>
      </c>
    </row>
    <row r="21" spans="1:2" x14ac:dyDescent="0.25">
      <c r="A21" t="s">
        <v>43</v>
      </c>
      <c r="B21" s="5" t="s">
        <v>665</v>
      </c>
    </row>
    <row r="22" spans="1:2" x14ac:dyDescent="0.25">
      <c r="A22" t="s">
        <v>43</v>
      </c>
      <c r="B22" s="5" t="s">
        <v>666</v>
      </c>
    </row>
    <row r="23" spans="1:2" x14ac:dyDescent="0.25">
      <c r="A23" t="s">
        <v>43</v>
      </c>
      <c r="B23" s="5" t="s">
        <v>667</v>
      </c>
    </row>
    <row r="24" spans="1:2" x14ac:dyDescent="0.25">
      <c r="A24" t="s">
        <v>43</v>
      </c>
      <c r="B24" s="5" t="s">
        <v>43</v>
      </c>
    </row>
    <row r="25" spans="1:2" x14ac:dyDescent="0.25">
      <c r="A25" t="s">
        <v>668</v>
      </c>
      <c r="B25" s="6" t="s">
        <v>669</v>
      </c>
    </row>
    <row r="26" spans="1:2" x14ac:dyDescent="0.25">
      <c r="A26" t="s">
        <v>43</v>
      </c>
      <c r="B26" s="5" t="s">
        <v>670</v>
      </c>
    </row>
    <row r="27" spans="1:2" x14ac:dyDescent="0.25">
      <c r="A27" t="s">
        <v>43</v>
      </c>
      <c r="B27" s="5" t="s">
        <v>671</v>
      </c>
    </row>
    <row r="28" spans="1:2" x14ac:dyDescent="0.25">
      <c r="A28" t="s">
        <v>43</v>
      </c>
      <c r="B28" s="5" t="s">
        <v>43</v>
      </c>
    </row>
    <row r="29" spans="1:2" x14ac:dyDescent="0.25">
      <c r="A29" t="s">
        <v>672</v>
      </c>
      <c r="B29" s="6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物料匯入</vt:lpstr>
      <vt:lpstr>系統碼表</vt:lpstr>
      <vt:lpstr>類別碼表</vt:lpstr>
      <vt:lpstr>子系統清單</vt:lpstr>
      <vt:lpstr>單位表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物料匯入範本產生器</dc:creator>
  <dc:title/>
  <dc:subject/>
  <dc:description/>
  <cp:keywords/>
  <cp:category/>
  <cp:lastModifiedBy>Unknown</cp:lastModifiedBy>
  <dcterms:created xsi:type="dcterms:W3CDTF">2026-06-04T17:09:52Z</dcterms:created>
  <dcterms:modified xsi:type="dcterms:W3CDTF">2026-06-04T17:09:52Z</dcterms:modified>
</cp:coreProperties>
</file>